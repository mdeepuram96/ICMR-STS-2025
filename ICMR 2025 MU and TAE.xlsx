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sudham/Downloads/ICMR STS 2025/"/>
    </mc:Choice>
  </mc:AlternateContent>
  <xr:revisionPtr revIDLastSave="0" documentId="13_ncr:1_{B2CECF5E-1621-034D-A5DD-9557CC47112D}" xr6:coauthVersionLast="47" xr6:coauthVersionMax="47" xr10:uidLastSave="{00000000-0000-0000-0000-000000000000}"/>
  <bookViews>
    <workbookView xWindow="4220" yWindow="600" windowWidth="23940" windowHeight="15220" firstSheet="16" activeTab="27" xr2:uid="{6C1FD1CD-5892-0A47-852D-1B43EB504805}"/>
  </bookViews>
  <sheets>
    <sheet name="Glucose" sheetId="3" r:id="rId1"/>
    <sheet name="Urea" sheetId="1" r:id="rId2"/>
    <sheet name="Creatinine" sheetId="25" r:id="rId3"/>
    <sheet name="cholesterol" sheetId="32" r:id="rId4"/>
    <sheet name="TGL" sheetId="31" r:id="rId5"/>
    <sheet name="HDL" sheetId="30" r:id="rId6"/>
    <sheet name="T. Protein" sheetId="29" r:id="rId7"/>
    <sheet name="albumin" sheetId="28" r:id="rId8"/>
    <sheet name="TBIL" sheetId="27" r:id="rId9"/>
    <sheet name="DBIL" sheetId="26" r:id="rId10"/>
    <sheet name="AST" sheetId="18" r:id="rId11"/>
    <sheet name="ALT" sheetId="24" r:id="rId12"/>
    <sheet name="GGT" sheetId="23" r:id="rId13"/>
    <sheet name="Calcium" sheetId="21" r:id="rId14"/>
    <sheet name="Phosphorus" sheetId="20" r:id="rId15"/>
    <sheet name="Uric acid" sheetId="22" r:id="rId16"/>
    <sheet name="Magnesium" sheetId="19" r:id="rId17"/>
    <sheet name="Amylase" sheetId="17" r:id="rId18"/>
    <sheet name="Lipase" sheetId="33" r:id="rId19"/>
    <sheet name="CPK" sheetId="35" r:id="rId20"/>
    <sheet name="LDH" sheetId="36" r:id="rId21"/>
    <sheet name="Iron" sheetId="34" r:id="rId22"/>
    <sheet name="UIBC" sheetId="37" r:id="rId23"/>
    <sheet name="Sodium" sheetId="38" r:id="rId24"/>
    <sheet name="Potassium" sheetId="39" r:id="rId25"/>
    <sheet name="Chloride" sheetId="40" r:id="rId26"/>
    <sheet name="Bicarbonate" sheetId="41" r:id="rId27"/>
    <sheet name="FINAL DATA L1" sheetId="4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2" l="1"/>
  <c r="G23" i="42"/>
  <c r="G24" i="42"/>
  <c r="G26" i="42"/>
  <c r="G27" i="42"/>
  <c r="H27" i="42" s="1"/>
  <c r="G28" i="42"/>
  <c r="G29" i="42"/>
  <c r="G4" i="42"/>
  <c r="G5" i="42"/>
  <c r="G6" i="42"/>
  <c r="G7" i="42"/>
  <c r="G8" i="42"/>
  <c r="G9" i="42"/>
  <c r="H9" i="42" s="1"/>
  <c r="G10" i="42"/>
  <c r="G11" i="42"/>
  <c r="G12" i="42"/>
  <c r="G13" i="42"/>
  <c r="G14" i="42"/>
  <c r="G15" i="42"/>
  <c r="H15" i="42" s="1"/>
  <c r="G16" i="42"/>
  <c r="G17" i="42"/>
  <c r="G18" i="42"/>
  <c r="G19" i="42"/>
  <c r="G20" i="42"/>
  <c r="G21" i="42"/>
  <c r="H21" i="42" s="1"/>
  <c r="G3" i="42"/>
  <c r="F4" i="42"/>
  <c r="F5" i="42"/>
  <c r="H5" i="42" s="1"/>
  <c r="F6" i="42"/>
  <c r="H6" i="42" s="1"/>
  <c r="F7" i="42"/>
  <c r="H7" i="42" s="1"/>
  <c r="F8" i="42"/>
  <c r="H8" i="42" s="1"/>
  <c r="F9" i="42"/>
  <c r="F10" i="42"/>
  <c r="F11" i="42"/>
  <c r="F12" i="42"/>
  <c r="H12" i="42" s="1"/>
  <c r="F13" i="42"/>
  <c r="H13" i="42" s="1"/>
  <c r="F14" i="42"/>
  <c r="H14" i="42" s="1"/>
  <c r="F15" i="42"/>
  <c r="F16" i="42"/>
  <c r="F17" i="42"/>
  <c r="F18" i="42"/>
  <c r="H18" i="42" s="1"/>
  <c r="F19" i="42"/>
  <c r="H19" i="42" s="1"/>
  <c r="F20" i="42"/>
  <c r="H20" i="42" s="1"/>
  <c r="F21" i="42"/>
  <c r="F22" i="42"/>
  <c r="F23" i="42"/>
  <c r="F24" i="42"/>
  <c r="H24" i="42" s="1"/>
  <c r="F26" i="42"/>
  <c r="F27" i="42"/>
  <c r="F28" i="42"/>
  <c r="F29" i="42"/>
  <c r="F3" i="42"/>
  <c r="H4" i="42"/>
  <c r="H10" i="42"/>
  <c r="H11" i="42"/>
  <c r="H16" i="42"/>
  <c r="H17" i="42"/>
  <c r="H22" i="42"/>
  <c r="H23" i="42"/>
  <c r="H28" i="42"/>
  <c r="H29" i="42"/>
  <c r="H3" i="42"/>
  <c r="D4" i="42"/>
  <c r="D3" i="42"/>
  <c r="D29" i="42"/>
  <c r="B29" i="42"/>
  <c r="D28" i="42"/>
  <c r="B28" i="42"/>
  <c r="D27" i="42"/>
  <c r="B27" i="42"/>
  <c r="D26" i="42"/>
  <c r="B26" i="42"/>
  <c r="D25" i="42"/>
  <c r="B25" i="42"/>
  <c r="D24" i="42"/>
  <c r="B24" i="42"/>
  <c r="D23" i="42"/>
  <c r="B23" i="42"/>
  <c r="D22" i="42"/>
  <c r="B22" i="42"/>
  <c r="D21" i="42"/>
  <c r="B21" i="42"/>
  <c r="D20" i="42"/>
  <c r="B20" i="42"/>
  <c r="D19" i="42"/>
  <c r="B19" i="42"/>
  <c r="D18" i="42"/>
  <c r="B18" i="42"/>
  <c r="D17" i="42"/>
  <c r="B17" i="42"/>
  <c r="D16" i="42"/>
  <c r="B16" i="42"/>
  <c r="D15" i="42"/>
  <c r="B15" i="42"/>
  <c r="D14" i="42"/>
  <c r="B14" i="42"/>
  <c r="D13" i="42"/>
  <c r="B13" i="42"/>
  <c r="D12" i="42"/>
  <c r="B12" i="42"/>
  <c r="D11" i="42"/>
  <c r="B11" i="42"/>
  <c r="D10" i="42"/>
  <c r="B10" i="42"/>
  <c r="D9" i="42"/>
  <c r="B9" i="42"/>
  <c r="D8" i="42"/>
  <c r="B8" i="42"/>
  <c r="D7" i="42"/>
  <c r="B7" i="42"/>
  <c r="D6" i="42"/>
  <c r="B6" i="42"/>
  <c r="D5" i="42"/>
  <c r="B5" i="42"/>
  <c r="B4" i="42"/>
  <c r="B3" i="42"/>
  <c r="B21" i="41"/>
  <c r="B19" i="41"/>
  <c r="B21" i="40"/>
  <c r="B19" i="40"/>
  <c r="B21" i="39"/>
  <c r="B19" i="39"/>
  <c r="B21" i="38"/>
  <c r="B19" i="38"/>
  <c r="B21" i="37"/>
  <c r="B19" i="37"/>
  <c r="B21" i="34"/>
  <c r="B19" i="34"/>
  <c r="B21" i="36"/>
  <c r="B19" i="36"/>
  <c r="B21" i="35"/>
  <c r="B19" i="35"/>
  <c r="B21" i="33"/>
  <c r="B19" i="33"/>
  <c r="B21" i="17"/>
  <c r="B19" i="17"/>
  <c r="B21" i="19"/>
  <c r="B19" i="19"/>
  <c r="B21" i="22"/>
  <c r="B19" i="22"/>
  <c r="B21" i="20"/>
  <c r="B19" i="20"/>
  <c r="B21" i="21"/>
  <c r="B19" i="21"/>
  <c r="B21" i="23"/>
  <c r="B19" i="23"/>
  <c r="B21" i="24"/>
  <c r="B19" i="24"/>
  <c r="B21" i="18"/>
  <c r="B19" i="18"/>
  <c r="B21" i="26"/>
  <c r="B19" i="26"/>
  <c r="B21" i="27"/>
  <c r="B11" i="27"/>
  <c r="B11" i="28"/>
  <c r="B21" i="28" s="1"/>
  <c r="B19" i="27"/>
  <c r="B19" i="28"/>
  <c r="B21" i="29"/>
  <c r="B19" i="29"/>
  <c r="B22" i="30"/>
  <c r="B21" i="31"/>
  <c r="B20" i="30"/>
  <c r="B19" i="31"/>
  <c r="B21" i="32"/>
  <c r="B20" i="25"/>
  <c r="B19" i="32"/>
  <c r="B19" i="25"/>
  <c r="B24" i="1"/>
  <c r="B24" i="3"/>
  <c r="B13" i="3"/>
  <c r="B22" i="3"/>
  <c r="B15" i="25"/>
  <c r="H26" i="42" l="1"/>
  <c r="P4" i="42"/>
  <c r="B15" i="41"/>
  <c r="B13" i="41"/>
  <c r="B12" i="41"/>
  <c r="B11" i="41"/>
  <c r="B15" i="40"/>
  <c r="B13" i="40"/>
  <c r="B12" i="40"/>
  <c r="B14" i="40" s="1"/>
  <c r="B11" i="40"/>
  <c r="B15" i="39"/>
  <c r="B13" i="39"/>
  <c r="B12" i="39"/>
  <c r="B14" i="39" s="1"/>
  <c r="B11" i="39"/>
  <c r="B15" i="38"/>
  <c r="B13" i="38"/>
  <c r="B12" i="38"/>
  <c r="B11" i="38"/>
  <c r="B15" i="37"/>
  <c r="B13" i="37"/>
  <c r="B12" i="37"/>
  <c r="B11" i="37"/>
  <c r="B15" i="36"/>
  <c r="B13" i="36"/>
  <c r="B12" i="36"/>
  <c r="B11" i="36"/>
  <c r="B15" i="35"/>
  <c r="B12" i="35"/>
  <c r="B11" i="35"/>
  <c r="B15" i="34"/>
  <c r="B13" i="34"/>
  <c r="B12" i="34"/>
  <c r="B11" i="34"/>
  <c r="B15" i="33"/>
  <c r="B13" i="33"/>
  <c r="B12" i="33"/>
  <c r="B11" i="33"/>
  <c r="B15" i="32"/>
  <c r="B12" i="32"/>
  <c r="B11" i="32"/>
  <c r="B15" i="31"/>
  <c r="B13" i="31"/>
  <c r="B12" i="31"/>
  <c r="B11" i="31"/>
  <c r="B15" i="30"/>
  <c r="B13" i="30"/>
  <c r="B12" i="30"/>
  <c r="B11" i="30"/>
  <c r="B15" i="29"/>
  <c r="B13" i="29"/>
  <c r="B12" i="29"/>
  <c r="B11" i="29"/>
  <c r="B15" i="28"/>
  <c r="B13" i="28"/>
  <c r="B12" i="28"/>
  <c r="B14" i="28" s="1"/>
  <c r="B15" i="27"/>
  <c r="B13" i="27"/>
  <c r="B14" i="27" s="1"/>
  <c r="B12" i="27"/>
  <c r="B15" i="26"/>
  <c r="B13" i="26"/>
  <c r="B12" i="26"/>
  <c r="B11" i="26"/>
  <c r="B13" i="25"/>
  <c r="B14" i="25" s="1"/>
  <c r="B12" i="25"/>
  <c r="B11" i="25"/>
  <c r="B15" i="24"/>
  <c r="B14" i="24"/>
  <c r="B13" i="24"/>
  <c r="B12" i="24"/>
  <c r="B11" i="24"/>
  <c r="B15" i="23"/>
  <c r="B13" i="23"/>
  <c r="B14" i="23" s="1"/>
  <c r="B12" i="23"/>
  <c r="B11" i="23"/>
  <c r="B15" i="22"/>
  <c r="B13" i="22"/>
  <c r="B12" i="22"/>
  <c r="B11" i="22"/>
  <c r="B15" i="21"/>
  <c r="B13" i="21"/>
  <c r="B12" i="21"/>
  <c r="B14" i="21" s="1"/>
  <c r="B16" i="21" s="1"/>
  <c r="B11" i="21"/>
  <c r="B15" i="20"/>
  <c r="B13" i="20"/>
  <c r="B12" i="20"/>
  <c r="B14" i="20" s="1"/>
  <c r="B11" i="20"/>
  <c r="B15" i="19"/>
  <c r="B13" i="19"/>
  <c r="B14" i="19" s="1"/>
  <c r="B12" i="19"/>
  <c r="B11" i="19"/>
  <c r="B15" i="18"/>
  <c r="B13" i="18"/>
  <c r="B14" i="18" s="1"/>
  <c r="B12" i="18"/>
  <c r="B11" i="18"/>
  <c r="B15" i="17"/>
  <c r="B13" i="17"/>
  <c r="B12" i="17"/>
  <c r="B14" i="17" s="1"/>
  <c r="B11" i="17"/>
  <c r="B17" i="3"/>
  <c r="B14" i="3"/>
  <c r="B17" i="1"/>
  <c r="B15" i="1"/>
  <c r="B14" i="1"/>
  <c r="B16" i="1" s="1"/>
  <c r="B13" i="1"/>
  <c r="B14" i="41" l="1"/>
  <c r="B16" i="41" s="1"/>
  <c r="B18" i="41" s="1"/>
  <c r="B14" i="38"/>
  <c r="B16" i="38" s="1"/>
  <c r="B16" i="40"/>
  <c r="B18" i="40" s="1"/>
  <c r="B14" i="34"/>
  <c r="B14" i="36"/>
  <c r="B16" i="36" s="1"/>
  <c r="B18" i="36" s="1"/>
  <c r="B14" i="33"/>
  <c r="B16" i="33" s="1"/>
  <c r="B18" i="33" s="1"/>
  <c r="B16" i="39"/>
  <c r="B18" i="39"/>
  <c r="B14" i="37"/>
  <c r="B16" i="37" s="1"/>
  <c r="B18" i="37" s="1"/>
  <c r="B14" i="22"/>
  <c r="B16" i="22" s="1"/>
  <c r="B18" i="22" s="1"/>
  <c r="B16" i="19"/>
  <c r="B18" i="19"/>
  <c r="B16" i="20"/>
  <c r="B18" i="20"/>
  <c r="B16" i="24"/>
  <c r="B18" i="24"/>
  <c r="B18" i="21"/>
  <c r="B14" i="26"/>
  <c r="B16" i="27"/>
  <c r="B18" i="27"/>
  <c r="B16" i="28"/>
  <c r="B18" i="28" s="1"/>
  <c r="B14" i="29"/>
  <c r="B16" i="29" s="1"/>
  <c r="B18" i="29" s="1"/>
  <c r="B14" i="30"/>
  <c r="B16" i="30" s="1"/>
  <c r="B18" i="30"/>
  <c r="B14" i="31"/>
  <c r="B16" i="31" s="1"/>
  <c r="B18" i="31" s="1"/>
  <c r="B16" i="25"/>
  <c r="B18" i="25"/>
  <c r="B18" i="1"/>
  <c r="B20" i="1" s="1"/>
  <c r="B22" i="1" s="1"/>
  <c r="B18" i="38"/>
  <c r="B16" i="34"/>
  <c r="B18" i="34" s="1"/>
  <c r="B16" i="26"/>
  <c r="B18" i="26" s="1"/>
  <c r="B16" i="23"/>
  <c r="B18" i="23" s="1"/>
  <c r="B16" i="18"/>
  <c r="B18" i="18" s="1"/>
  <c r="B16" i="17"/>
  <c r="B18" i="17" s="1"/>
  <c r="B15" i="3"/>
  <c r="B16" i="3" s="1"/>
  <c r="B18" i="3" s="1"/>
  <c r="B20" i="3" s="1"/>
  <c r="B13" i="32" l="1"/>
  <c r="B14" i="32" s="1"/>
  <c r="B16" i="32" s="1"/>
  <c r="B18" i="32" s="1"/>
  <c r="B13" i="35"/>
  <c r="B14" i="35" s="1"/>
  <c r="B16" i="35" s="1"/>
  <c r="B18" i="35" s="1"/>
</calcChain>
</file>

<file path=xl/sharedStrings.xml><?xml version="1.0" encoding="utf-8"?>
<sst xmlns="http://schemas.openxmlformats.org/spreadsheetml/2006/main" count="777" uniqueCount="84">
  <si>
    <t>CV%</t>
  </si>
  <si>
    <t>Mean Bias %</t>
  </si>
  <si>
    <t>Pooled CV%</t>
  </si>
  <si>
    <t>Lot 1 (CV1)</t>
  </si>
  <si>
    <t>Lot 2 (CV2)</t>
  </si>
  <si>
    <t>Lot 3 (CV3)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</si>
  <si>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</si>
  <si>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</si>
  <si>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</si>
  <si>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</si>
  <si>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</si>
  <si>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</si>
  <si>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</si>
  <si>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</si>
  <si>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</si>
  <si>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</si>
  <si>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</si>
  <si>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</si>
  <si>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SD Bias %</t>
  </si>
  <si>
    <t>no. of EQA</t>
  </si>
  <si>
    <t>Bias %</t>
  </si>
  <si>
    <t>SD mean %</t>
  </si>
  <si>
    <t xml:space="preserve"> U</t>
  </si>
  <si>
    <t>Mean U</t>
  </si>
  <si>
    <t>U bias</t>
  </si>
  <si>
    <t>MU</t>
  </si>
  <si>
    <t>EQA</t>
  </si>
  <si>
    <t>MEASUREMENT UNCERTAINITY AND TAE</t>
  </si>
  <si>
    <t>Pooled CV% (level 1)</t>
  </si>
  <si>
    <t>MU (level 2)</t>
  </si>
  <si>
    <t>TE Glucose (L1)</t>
  </si>
  <si>
    <t>u</t>
  </si>
  <si>
    <t>u = combined standard uncertainity</t>
  </si>
  <si>
    <t>MU = Measurement uncertainity = 2*u</t>
  </si>
  <si>
    <t>Level 1</t>
  </si>
  <si>
    <t>Level 2</t>
  </si>
  <si>
    <t>Pooled CV% (Level 2)</t>
  </si>
  <si>
    <t>u (level 2)</t>
  </si>
  <si>
    <t>TE (L2)</t>
  </si>
  <si>
    <t>MUTE (L2)</t>
  </si>
  <si>
    <t>LEVEL 1</t>
  </si>
  <si>
    <t>MU% (level 1)</t>
  </si>
  <si>
    <t>u% (level 1)</t>
  </si>
  <si>
    <t>Mean U%</t>
  </si>
  <si>
    <t xml:space="preserve"> U%</t>
  </si>
  <si>
    <t>U bias%</t>
  </si>
  <si>
    <t>TE% urea</t>
  </si>
  <si>
    <t>TE% creatinine</t>
  </si>
  <si>
    <t>TE</t>
  </si>
  <si>
    <t>U</t>
  </si>
  <si>
    <t>Glucose</t>
  </si>
  <si>
    <t>Urea</t>
  </si>
  <si>
    <t>Creatinine</t>
  </si>
  <si>
    <t>Cholesterol</t>
  </si>
  <si>
    <t>Trigyceride</t>
  </si>
  <si>
    <t>High Denisty Lipoprotrin</t>
  </si>
  <si>
    <t>Total Protein</t>
  </si>
  <si>
    <t>Albumin</t>
  </si>
  <si>
    <t>Total Bilirubin</t>
  </si>
  <si>
    <t>Direct Bilirubin</t>
  </si>
  <si>
    <t>Aspartate Transaminase</t>
  </si>
  <si>
    <t>Alanine Transaminase</t>
  </si>
  <si>
    <t>Gamma Glutamayl Transferase</t>
  </si>
  <si>
    <t>Calcium</t>
  </si>
  <si>
    <t>Phosphorus</t>
  </si>
  <si>
    <t>Uric acid</t>
  </si>
  <si>
    <t>Magnesium</t>
  </si>
  <si>
    <t>Amylase</t>
  </si>
  <si>
    <t>Lipase</t>
  </si>
  <si>
    <t>Creatine phosphokinase</t>
  </si>
  <si>
    <t>Lactate Dehydrogenase</t>
  </si>
  <si>
    <t>Iron</t>
  </si>
  <si>
    <t>Unsaturated Iron binding Capacity</t>
  </si>
  <si>
    <t>Sodium</t>
  </si>
  <si>
    <t>Potassium</t>
  </si>
  <si>
    <t>Chloride</t>
  </si>
  <si>
    <t>Bicarbonate</t>
  </si>
  <si>
    <t>Analytes</t>
  </si>
  <si>
    <t>correlation coefficient, r</t>
  </si>
  <si>
    <t>Allowable MU</t>
  </si>
  <si>
    <t>TEa</t>
  </si>
  <si>
    <t>MUTE index</t>
  </si>
  <si>
    <t>MU index</t>
  </si>
  <si>
    <t xml:space="preserve">TE 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</si>
</sst>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 (Body)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6"/>
      <color theme="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5" tint="-0.499984740745262"/>
      <name val="Aptos Narrow"/>
      <scheme val="minor"/>
    </font>
    <font>
      <b/>
      <sz val="22"/>
      <color theme="5" tint="-0.499984740745262"/>
      <name val="Aptos Narrow"/>
      <scheme val="minor"/>
    </font>
    <font>
      <b/>
      <sz val="18"/>
      <color theme="1"/>
      <name val="Aptos Narrow (Body)"/>
    </font>
    <font>
      <sz val="11"/>
      <color rgb="FF000000"/>
      <name val="Aptos Narrow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sz val="12"/>
      <color rgb="FFC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5E4F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0" fillId="6" borderId="1" xfId="0" applyFill="1" applyBorder="1"/>
    <xf numFmtId="0" fontId="3" fillId="6" borderId="1" xfId="0" applyFont="1" applyFill="1" applyBorder="1"/>
    <xf numFmtId="0" fontId="0" fillId="8" borderId="0" xfId="0" applyFill="1"/>
    <xf numFmtId="0" fontId="0" fillId="0" borderId="0" xfId="0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6" fillId="0" borderId="1" xfId="0" applyFont="1" applyBorder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2" fontId="3" fillId="0" borderId="0" xfId="0" applyNumberFormat="1" applyFont="1"/>
    <xf numFmtId="0" fontId="9" fillId="9" borderId="0" xfId="0" applyFont="1" applyFill="1"/>
    <xf numFmtId="0" fontId="10" fillId="0" borderId="0" xfId="0" applyFont="1"/>
    <xf numFmtId="2" fontId="8" fillId="0" borderId="0" xfId="0" applyNumberFormat="1" applyFont="1"/>
    <xf numFmtId="0" fontId="0" fillId="10" borderId="0" xfId="0" applyFill="1"/>
    <xf numFmtId="0" fontId="0" fillId="11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12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14" fillId="0" borderId="0" xfId="0" applyFont="1"/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5" fillId="0" borderId="0" xfId="0" applyFont="1"/>
    <xf numFmtId="0" fontId="4" fillId="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2" fontId="17" fillId="0" borderId="0" xfId="0" applyNumberFormat="1" applyFont="1"/>
    <xf numFmtId="0" fontId="0" fillId="13" borderId="0" xfId="0" applyFill="1"/>
    <xf numFmtId="2" fontId="0" fillId="13" borderId="0" xfId="0" applyNumberFormat="1" applyFill="1"/>
    <xf numFmtId="0" fontId="14" fillId="13" borderId="0" xfId="0" applyFont="1" applyFill="1"/>
    <xf numFmtId="2" fontId="0" fillId="1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Pearson's</a:t>
            </a:r>
            <a:r>
              <a:rPr lang="en-US" baseline="0"/>
              <a:t> correlation of MU and </a:t>
            </a:r>
            <a:r>
              <a:rPr lang="en-US"/>
              <a:t>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24888274100878E-2"/>
          <c:y val="2.6409998168833541E-2"/>
          <c:w val="0.90425821983400723"/>
          <c:h val="0.824990386376121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'FINAL DATA L1'!$D$2</c:f>
              <c:strCache>
                <c:ptCount val="1"/>
                <c:pt idx="0">
                  <c:v>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DATA L1'!$B$3:$B$29</c:f>
              <c:numCache>
                <c:formatCode>0.00</c:formatCode>
                <c:ptCount val="27"/>
                <c:pt idx="0">
                  <c:v>3.9487268578143602</c:v>
                </c:pt>
                <c:pt idx="1">
                  <c:v>5.9040074022893272</c:v>
                </c:pt>
                <c:pt idx="2">
                  <c:v>4.0086088037954646</c:v>
                </c:pt>
                <c:pt idx="3">
                  <c:v>4.4370145148074105</c:v>
                </c:pt>
                <c:pt idx="4">
                  <c:v>6.4642194612784039</c:v>
                </c:pt>
                <c:pt idx="5">
                  <c:v>5.3192979955104382</c:v>
                </c:pt>
                <c:pt idx="6">
                  <c:v>2.9061749517568636</c:v>
                </c:pt>
                <c:pt idx="7">
                  <c:v>8.2260399562535493</c:v>
                </c:pt>
                <c:pt idx="8">
                  <c:v>3.8928930427963535</c:v>
                </c:pt>
                <c:pt idx="9">
                  <c:v>5.8277813335452437</c:v>
                </c:pt>
                <c:pt idx="10">
                  <c:v>5.0029941956560933</c:v>
                </c:pt>
                <c:pt idx="11">
                  <c:v>5.6210355193737689</c:v>
                </c:pt>
                <c:pt idx="12">
                  <c:v>3.6814956158883323</c:v>
                </c:pt>
                <c:pt idx="13">
                  <c:v>2.6900314232685361</c:v>
                </c:pt>
                <c:pt idx="14">
                  <c:v>6.1296929940040155</c:v>
                </c:pt>
                <c:pt idx="15">
                  <c:v>3.6015971450357682</c:v>
                </c:pt>
                <c:pt idx="16">
                  <c:v>4.6957196154739833</c:v>
                </c:pt>
                <c:pt idx="17">
                  <c:v>6.9539393248503139</c:v>
                </c:pt>
                <c:pt idx="18">
                  <c:v>10.934556075673912</c:v>
                </c:pt>
                <c:pt idx="19">
                  <c:v>5.7307823303357939</c:v>
                </c:pt>
                <c:pt idx="20">
                  <c:v>10.197795458846224</c:v>
                </c:pt>
                <c:pt idx="21">
                  <c:v>2.9326429329694368</c:v>
                </c:pt>
                <c:pt idx="22">
                  <c:v>10.696141845345382</c:v>
                </c:pt>
                <c:pt idx="23">
                  <c:v>2.8544308168485046</c:v>
                </c:pt>
                <c:pt idx="24">
                  <c:v>2.1199548375388342</c:v>
                </c:pt>
                <c:pt idx="25">
                  <c:v>1.5474191151949219</c:v>
                </c:pt>
                <c:pt idx="26">
                  <c:v>9.9661212097145615</c:v>
                </c:pt>
              </c:numCache>
            </c:numRef>
          </c:xVal>
          <c:yVal>
            <c:numRef>
              <c:f>'FINAL DATA L1'!$D$3:$D$29</c:f>
              <c:numCache>
                <c:formatCode>0.00</c:formatCode>
                <c:ptCount val="27"/>
                <c:pt idx="0">
                  <c:v>5.5616551812600239</c:v>
                </c:pt>
                <c:pt idx="1">
                  <c:v>5.6960318793292224</c:v>
                </c:pt>
                <c:pt idx="2">
                  <c:v>3.720992643110594</c:v>
                </c:pt>
                <c:pt idx="3">
                  <c:v>8.0979315180338638</c:v>
                </c:pt>
                <c:pt idx="4">
                  <c:v>7.1182137235768668</c:v>
                </c:pt>
                <c:pt idx="5">
                  <c:v>5.8821224168844859</c:v>
                </c:pt>
                <c:pt idx="6">
                  <c:v>3.4182542577047172</c:v>
                </c:pt>
                <c:pt idx="7">
                  <c:v>8.900507062330318</c:v>
                </c:pt>
                <c:pt idx="8">
                  <c:v>4.4765144151457301</c:v>
                </c:pt>
                <c:pt idx="9">
                  <c:v>6.5816174745213427</c:v>
                </c:pt>
                <c:pt idx="10">
                  <c:v>5.3516133772058936</c:v>
                </c:pt>
                <c:pt idx="11">
                  <c:v>6.214828109182136</c:v>
                </c:pt>
                <c:pt idx="12">
                  <c:v>3.5873873212953047</c:v>
                </c:pt>
                <c:pt idx="13">
                  <c:v>2.8265366647706429</c:v>
                </c:pt>
                <c:pt idx="14">
                  <c:v>6.2877874546292301</c:v>
                </c:pt>
                <c:pt idx="15">
                  <c:v>4.0856305757106739</c:v>
                </c:pt>
                <c:pt idx="16">
                  <c:v>5.3717999229858888</c:v>
                </c:pt>
                <c:pt idx="17">
                  <c:v>4.9711316163018386</c:v>
                </c:pt>
                <c:pt idx="18">
                  <c:v>13.249506073213418</c:v>
                </c:pt>
                <c:pt idx="19">
                  <c:v>5.857866999813055</c:v>
                </c:pt>
                <c:pt idx="20">
                  <c:v>9.0040745907631319</c:v>
                </c:pt>
                <c:pt idx="21">
                  <c:v>2.733669898523353</c:v>
                </c:pt>
                <c:pt idx="22">
                  <c:v>10.525867159739892</c:v>
                </c:pt>
                <c:pt idx="23">
                  <c:v>3.5344934426339463</c:v>
                </c:pt>
                <c:pt idx="24">
                  <c:v>2.6692866350429316</c:v>
                </c:pt>
                <c:pt idx="25">
                  <c:v>1.475168218435476</c:v>
                </c:pt>
                <c:pt idx="26">
                  <c:v>11.748332999624326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E-A24A-BCC2-557E500B5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212287"/>
        <c:axId val="565201087"/>
      </c:scatterChart>
      <c:valAx>
        <c:axId val="5652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01087"/>
        <c:crosses val="autoZero"/>
        <c:crossBetween val="midCat"/>
      </c:valAx>
      <c:valAx>
        <c:axId val="5652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1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596900</xdr:colOff>
      <xdr:row>16</xdr:row>
      <xdr:rowOff>165100</xdr:rowOff>
    </xdr:from>
    <xdr:to>
      <xdr:col>21</xdr:col>
      <xdr:colOff>431800</xdr:colOff>
      <xdr:row>22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19D46-AE17-0FE6-61EC-04665E0EF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0900" y="3492500"/>
          <a:ext cx="6438900" cy="1155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508000</xdr:colOff>
      <xdr:row>6</xdr:row>
      <xdr:rowOff>38100</xdr:rowOff>
    </xdr:from>
    <xdr:to>
      <xdr:col>21</xdr:col>
      <xdr:colOff>228600</xdr:colOff>
      <xdr:row>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65A8E-6280-A35A-BA60-8E688DA77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1333500"/>
          <a:ext cx="6324600" cy="1587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5</xdr:row>
      <xdr:rowOff>101600</xdr:rowOff>
    </xdr:from>
    <xdr:to>
      <xdr:col>19</xdr:col>
      <xdr:colOff>165100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AA08C5-012A-732F-0EB4-7885732C9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DCFB-25F5-7542-857E-C3F099841BFF}">
  <sheetPr>
    <tabColor rgb="FFFFC000"/>
  </sheetPr>
  <dimension ref="A1:Q28"/>
  <sheetViews>
    <sheetView workbookViewId="0">
      <selection activeCell="B24" sqref="B24"/>
    </sheetView>
  </sheetViews>
  <sheetFormatPr baseColWidth="10" defaultRowHeight="16" x14ac:dyDescent="0.2"/>
  <cols>
    <col min="1" max="1" width="23.33203125" customWidth="1"/>
    <col min="9" max="9" width="18.33203125" customWidth="1"/>
  </cols>
  <sheetData>
    <row r="1" spans="1:9" ht="22" customHeight="1" x14ac:dyDescent="0.2">
      <c r="D1" s="33" t="s">
        <v>27</v>
      </c>
      <c r="E1" s="33"/>
      <c r="F1" s="33"/>
      <c r="G1" s="33"/>
    </row>
    <row r="2" spans="1:9" x14ac:dyDescent="0.2">
      <c r="D2" s="33"/>
      <c r="E2" s="33"/>
      <c r="F2" s="33"/>
      <c r="G2" s="33"/>
    </row>
    <row r="4" spans="1:9" x14ac:dyDescent="0.2">
      <c r="E4" s="8" t="s">
        <v>26</v>
      </c>
      <c r="F4" s="8" t="s">
        <v>20</v>
      </c>
      <c r="G4" s="8" t="s">
        <v>44</v>
      </c>
    </row>
    <row r="5" spans="1:9" ht="29" x14ac:dyDescent="0.35">
      <c r="A5" s="23" t="s">
        <v>34</v>
      </c>
      <c r="E5" s="7" t="s">
        <v>6</v>
      </c>
      <c r="F5" s="7">
        <v>-2.3622047244094486</v>
      </c>
      <c r="G5" s="7">
        <v>0.247</v>
      </c>
      <c r="I5" s="24" t="s">
        <v>35</v>
      </c>
    </row>
    <row r="6" spans="1:9" x14ac:dyDescent="0.2">
      <c r="B6" s="10"/>
      <c r="E6" s="7" t="s">
        <v>7</v>
      </c>
      <c r="F6" s="7">
        <v>-0.16920473773265651</v>
      </c>
      <c r="G6" s="7">
        <v>1.07</v>
      </c>
    </row>
    <row r="7" spans="1:9" x14ac:dyDescent="0.2">
      <c r="E7" s="7" t="s">
        <v>8</v>
      </c>
      <c r="F7" s="7">
        <v>-3.2258064516128981</v>
      </c>
      <c r="G7" s="7">
        <v>0.114</v>
      </c>
    </row>
    <row r="8" spans="1:9" x14ac:dyDescent="0.2">
      <c r="E8" s="7" t="s">
        <v>9</v>
      </c>
      <c r="F8" s="7">
        <v>0</v>
      </c>
      <c r="G8" s="7">
        <v>0.23300000000000001</v>
      </c>
    </row>
    <row r="9" spans="1:9" x14ac:dyDescent="0.2">
      <c r="E9" s="7" t="s">
        <v>10</v>
      </c>
      <c r="F9" s="7">
        <v>-1.6949152542372881</v>
      </c>
      <c r="G9" s="7">
        <v>1.03</v>
      </c>
    </row>
    <row r="10" spans="1:9" x14ac:dyDescent="0.2">
      <c r="A10" s="3" t="s">
        <v>28</v>
      </c>
      <c r="B10" s="6">
        <v>1.84</v>
      </c>
      <c r="E10" s="7" t="s">
        <v>11</v>
      </c>
      <c r="F10" s="7">
        <v>-3.3333333333333335</v>
      </c>
      <c r="G10" s="7">
        <v>7.3999999999999996E-2</v>
      </c>
      <c r="I10" s="21" t="s">
        <v>36</v>
      </c>
    </row>
    <row r="11" spans="1:9" x14ac:dyDescent="0.2">
      <c r="E11" s="7" t="s">
        <v>12</v>
      </c>
      <c r="F11" s="7">
        <v>-4.5454545454545459</v>
      </c>
      <c r="G11" s="7">
        <v>6.8000000000000005E-2</v>
      </c>
    </row>
    <row r="12" spans="1:9" x14ac:dyDescent="0.2">
      <c r="E12" s="7" t="s">
        <v>13</v>
      </c>
      <c r="F12" s="7">
        <v>-2.8571428571428572</v>
      </c>
      <c r="G12" s="7">
        <v>0.22700000000000001</v>
      </c>
    </row>
    <row r="13" spans="1:9" x14ac:dyDescent="0.2">
      <c r="A13" s="5" t="s">
        <v>1</v>
      </c>
      <c r="B13">
        <f>AVERAGE(F5:F16)</f>
        <v>-1.8816551812600235</v>
      </c>
      <c r="E13" s="7" t="s">
        <v>14</v>
      </c>
      <c r="F13" s="7">
        <v>-5.1851851851851851</v>
      </c>
      <c r="G13" s="7">
        <v>0.26600000000000001</v>
      </c>
    </row>
    <row r="14" spans="1:9" x14ac:dyDescent="0.2">
      <c r="A14" t="s">
        <v>18</v>
      </c>
      <c r="B14">
        <f>_xlfn.STDEV.S(F5:F16)</f>
        <v>2.0379841288734495</v>
      </c>
      <c r="E14" s="7" t="s">
        <v>15</v>
      </c>
      <c r="F14" s="7">
        <v>1.0050251256281406</v>
      </c>
      <c r="G14" s="7">
        <v>1.1200000000000001</v>
      </c>
    </row>
    <row r="15" spans="1:9" x14ac:dyDescent="0.2">
      <c r="A15" t="s">
        <v>19</v>
      </c>
      <c r="B15">
        <f>COUNT(F5:F16)</f>
        <v>12</v>
      </c>
      <c r="E15" s="7" t="s">
        <v>16</v>
      </c>
      <c r="F15" s="7">
        <v>-0.95238095238095244</v>
      </c>
      <c r="G15" s="7">
        <v>0.20300000000000001</v>
      </c>
    </row>
    <row r="16" spans="1:9" x14ac:dyDescent="0.2">
      <c r="A16" t="s">
        <v>21</v>
      </c>
      <c r="B16">
        <f>B14/SQRT(B15)</f>
        <v>0.58831534270463559</v>
      </c>
      <c r="E16" s="7" t="s">
        <v>17</v>
      </c>
      <c r="F16" s="7">
        <v>0.74074074074074081</v>
      </c>
      <c r="G16" s="7">
        <v>0.24299999999999999</v>
      </c>
    </row>
    <row r="17" spans="1:17" x14ac:dyDescent="0.2">
      <c r="A17" t="s">
        <v>43</v>
      </c>
      <c r="B17">
        <f>AVERAGE(G5:G16)</f>
        <v>0.40791666666666671</v>
      </c>
    </row>
    <row r="18" spans="1:17" x14ac:dyDescent="0.2">
      <c r="A18" s="4" t="s">
        <v>45</v>
      </c>
      <c r="B18" s="6">
        <f>SQRT(B17^2+B16^2)</f>
        <v>0.71589870051992499</v>
      </c>
    </row>
    <row r="20" spans="1:17" x14ac:dyDescent="0.2">
      <c r="A20" t="s">
        <v>42</v>
      </c>
      <c r="B20" s="20">
        <f>SQRT(B10^2+B18^2)</f>
        <v>1.9743634289071801</v>
      </c>
      <c r="I20" t="s">
        <v>37</v>
      </c>
    </row>
    <row r="22" spans="1:17" x14ac:dyDescent="0.2">
      <c r="A22" s="1" t="s">
        <v>41</v>
      </c>
      <c r="B22" s="17">
        <f>2*B20</f>
        <v>3.9487268578143602</v>
      </c>
      <c r="I22" s="22" t="s">
        <v>29</v>
      </c>
    </row>
    <row r="24" spans="1:17" x14ac:dyDescent="0.2">
      <c r="A24" s="9" t="s">
        <v>30</v>
      </c>
      <c r="B24" s="6">
        <f>(2*B10)+ABS(B13)</f>
        <v>5.5616551812600239</v>
      </c>
      <c r="I24" s="9" t="s">
        <v>38</v>
      </c>
    </row>
    <row r="25" spans="1:17" ht="27" x14ac:dyDescent="0.35">
      <c r="O25" s="19" t="s">
        <v>32</v>
      </c>
      <c r="P25" s="19"/>
      <c r="Q25" s="19"/>
    </row>
    <row r="26" spans="1:17" ht="27" x14ac:dyDescent="0.35">
      <c r="O26" s="19" t="s">
        <v>33</v>
      </c>
      <c r="P26" s="19"/>
      <c r="Q26" s="19"/>
    </row>
    <row r="28" spans="1:17" ht="22" x14ac:dyDescent="0.3">
      <c r="A28" s="18"/>
      <c r="I28" s="18" t="s">
        <v>39</v>
      </c>
    </row>
  </sheetData>
  <mergeCells count="1">
    <mergeCell ref="D1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0712-AC24-264A-A567-350FF5965A6B}">
  <sheetPr>
    <tabColor rgb="FFFFC000"/>
  </sheetPr>
  <dimension ref="A2:G24"/>
  <sheetViews>
    <sheetView workbookViewId="0">
      <selection activeCell="A22" sqref="A22"/>
    </sheetView>
  </sheetViews>
  <sheetFormatPr baseColWidth="10" defaultRowHeight="16" x14ac:dyDescent="0.2"/>
  <cols>
    <col min="1" max="1" width="20.5" customWidth="1"/>
  </cols>
  <sheetData>
    <row r="2" spans="1:7" x14ac:dyDescent="0.2">
      <c r="E2" s="28"/>
      <c r="F2" s="28" t="s">
        <v>20</v>
      </c>
      <c r="G2" s="28" t="s">
        <v>22</v>
      </c>
    </row>
    <row r="3" spans="1:7" x14ac:dyDescent="0.2">
      <c r="E3" s="28" t="s">
        <v>6</v>
      </c>
      <c r="F3" s="27">
        <v>0</v>
      </c>
      <c r="G3" s="26">
        <v>0.45500000000000002</v>
      </c>
    </row>
    <row r="4" spans="1:7" x14ac:dyDescent="0.2">
      <c r="B4" s="10"/>
      <c r="E4" s="28" t="s">
        <v>7</v>
      </c>
      <c r="F4" s="27">
        <v>-3.5714285714285712</v>
      </c>
      <c r="G4" s="26">
        <v>0.34699999999999998</v>
      </c>
    </row>
    <row r="5" spans="1:7" ht="24" x14ac:dyDescent="0.3">
      <c r="A5" s="25" t="s">
        <v>40</v>
      </c>
      <c r="E5" s="28" t="s">
        <v>8</v>
      </c>
      <c r="F5" s="27">
        <v>0.56925996204933049</v>
      </c>
      <c r="G5" s="26">
        <v>0.15</v>
      </c>
    </row>
    <row r="6" spans="1:7" x14ac:dyDescent="0.2">
      <c r="E6" s="28" t="s">
        <v>9</v>
      </c>
      <c r="F6" s="27">
        <v>3.6363636363636362</v>
      </c>
      <c r="G6" s="26">
        <v>0.48199999999999998</v>
      </c>
    </row>
    <row r="7" spans="1:7" x14ac:dyDescent="0.2">
      <c r="E7" s="28" t="s">
        <v>10</v>
      </c>
      <c r="F7" s="27">
        <v>1.7857142857142856</v>
      </c>
      <c r="G7" s="26">
        <v>0.318</v>
      </c>
    </row>
    <row r="8" spans="1:7" x14ac:dyDescent="0.2">
      <c r="E8" s="28" t="s">
        <v>11</v>
      </c>
      <c r="F8" s="27">
        <v>0</v>
      </c>
      <c r="G8" s="26">
        <v>4.8000000000000001E-2</v>
      </c>
    </row>
    <row r="9" spans="1:7" x14ac:dyDescent="0.2">
      <c r="E9" s="28" t="s">
        <v>12</v>
      </c>
      <c r="F9" s="27">
        <v>1.8867924528301887</v>
      </c>
      <c r="G9" s="26">
        <v>0.53300000000000003</v>
      </c>
    </row>
    <row r="10" spans="1:7" x14ac:dyDescent="0.2">
      <c r="A10" s="3" t="s">
        <v>2</v>
      </c>
      <c r="B10" s="6">
        <v>2.81</v>
      </c>
      <c r="E10" s="28" t="s">
        <v>13</v>
      </c>
      <c r="F10" s="27">
        <v>2.1611001964636571</v>
      </c>
      <c r="G10" s="26">
        <v>0.16400000000000001</v>
      </c>
    </row>
    <row r="11" spans="1:7" x14ac:dyDescent="0.2">
      <c r="E11" s="28" t="s">
        <v>14</v>
      </c>
      <c r="F11" s="27">
        <v>-4.7619047619047592</v>
      </c>
      <c r="G11" s="26">
        <v>5.3999999999999999E-2</v>
      </c>
    </row>
    <row r="12" spans="1:7" x14ac:dyDescent="0.2">
      <c r="E12" s="28" t="s">
        <v>15</v>
      </c>
      <c r="F12" s="27">
        <v>4.5871559633027523</v>
      </c>
      <c r="G12" s="26">
        <v>0.33300000000000002</v>
      </c>
    </row>
    <row r="13" spans="1:7" x14ac:dyDescent="0.2">
      <c r="A13" s="5" t="s">
        <v>1</v>
      </c>
      <c r="B13">
        <f>AVERAGE(F3:F14)</f>
        <v>7.6031879329222729E-2</v>
      </c>
      <c r="E13" s="28" t="s">
        <v>16</v>
      </c>
      <c r="F13" s="27">
        <v>-1.3806706114398477</v>
      </c>
      <c r="G13" s="26">
        <v>0.151</v>
      </c>
    </row>
    <row r="14" spans="1:7" x14ac:dyDescent="0.2">
      <c r="A14" t="s">
        <v>18</v>
      </c>
      <c r="B14">
        <f>_xlfn.STDEV.S(F3:F14)</f>
        <v>3.0041794030197586</v>
      </c>
      <c r="E14" s="28" t="s">
        <v>17</v>
      </c>
      <c r="F14" s="27">
        <v>-4</v>
      </c>
      <c r="G14" s="26">
        <v>5.0999999999999997E-2</v>
      </c>
    </row>
    <row r="15" spans="1:7" x14ac:dyDescent="0.2">
      <c r="A15" t="s">
        <v>19</v>
      </c>
      <c r="B15">
        <f>COUNT(F3:F14)</f>
        <v>12</v>
      </c>
    </row>
    <row r="16" spans="1:7" x14ac:dyDescent="0.2">
      <c r="A16" t="s">
        <v>21</v>
      </c>
      <c r="B16">
        <f>B14/SQRT(B15)</f>
        <v>0.86723189351369345</v>
      </c>
    </row>
    <row r="17" spans="1:2" x14ac:dyDescent="0.2">
      <c r="A17" t="s">
        <v>23</v>
      </c>
      <c r="B17">
        <f>AVERAGE(G3:G14)</f>
        <v>0.25716666666666671</v>
      </c>
    </row>
    <row r="18" spans="1:2" x14ac:dyDescent="0.2">
      <c r="A18" s="4" t="s">
        <v>24</v>
      </c>
      <c r="B18" s="6">
        <f>SQRT(B17^2+B16^2)</f>
        <v>0.90455837377793946</v>
      </c>
    </row>
    <row r="20" spans="1:2" x14ac:dyDescent="0.2">
      <c r="A20" t="s">
        <v>31</v>
      </c>
      <c r="B20" s="17">
        <f>SQRT(B10^2+B18^2)</f>
        <v>2.9520037011446636</v>
      </c>
    </row>
    <row r="22" spans="1:2" x14ac:dyDescent="0.2">
      <c r="A22" s="22" t="s">
        <v>25</v>
      </c>
      <c r="B22">
        <f>2*B20</f>
        <v>5.9040074022893272</v>
      </c>
    </row>
    <row r="24" spans="1:2" x14ac:dyDescent="0.2">
      <c r="A24" s="9" t="s">
        <v>46</v>
      </c>
      <c r="B24">
        <f>(2*B10)+ABS(B13)</f>
        <v>5.6960318793292224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DB0B-0C0C-504B-B7DB-6442F67E8E9E}">
  <sheetPr>
    <tabColor rgb="FFFFC000"/>
  </sheetPr>
  <dimension ref="A2:G20"/>
  <sheetViews>
    <sheetView workbookViewId="0">
      <selection activeCell="B20" sqref="B20"/>
    </sheetView>
  </sheetViews>
  <sheetFormatPr baseColWidth="10" defaultRowHeight="16" x14ac:dyDescent="0.2"/>
  <cols>
    <col min="1" max="1" width="16.5" customWidth="1"/>
  </cols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2.8571428571428594</v>
      </c>
      <c r="G3" s="13">
        <v>7.0000000000000001E-3</v>
      </c>
    </row>
    <row r="4" spans="1:7" x14ac:dyDescent="0.2">
      <c r="B4" s="2"/>
      <c r="E4" t="s">
        <v>7</v>
      </c>
      <c r="F4">
        <v>1.4423076923076827</v>
      </c>
      <c r="G4" s="13">
        <v>7.0000000000000001E-3</v>
      </c>
    </row>
    <row r="5" spans="1:7" x14ac:dyDescent="0.2">
      <c r="E5" t="s">
        <v>8</v>
      </c>
      <c r="F5">
        <v>0.76687116564418267</v>
      </c>
      <c r="G5" s="13">
        <v>2.5999999999999999E-2</v>
      </c>
    </row>
    <row r="6" spans="1:7" x14ac:dyDescent="0.2">
      <c r="E6" t="s">
        <v>9</v>
      </c>
      <c r="F6">
        <v>0.94339622641509513</v>
      </c>
      <c r="G6" s="13">
        <v>8.0000000000000002E-3</v>
      </c>
    </row>
    <row r="7" spans="1:7" x14ac:dyDescent="0.2">
      <c r="E7" t="s">
        <v>10</v>
      </c>
      <c r="F7">
        <v>3.8277511961722519</v>
      </c>
      <c r="G7" s="13">
        <v>8.0000000000000002E-3</v>
      </c>
    </row>
    <row r="8" spans="1:7" x14ac:dyDescent="0.2">
      <c r="A8" s="3" t="s">
        <v>2</v>
      </c>
      <c r="B8" s="6">
        <v>1.77</v>
      </c>
      <c r="E8" t="s">
        <v>11</v>
      </c>
      <c r="F8">
        <v>3.7634408602150451</v>
      </c>
      <c r="G8" s="13">
        <v>1.2999999999999999E-2</v>
      </c>
    </row>
    <row r="9" spans="1:7" x14ac:dyDescent="0.2">
      <c r="E9" t="s">
        <v>12</v>
      </c>
      <c r="F9">
        <v>0</v>
      </c>
      <c r="G9" s="13">
        <v>1.7000000000000001E-2</v>
      </c>
    </row>
    <row r="10" spans="1:7" x14ac:dyDescent="0.2">
      <c r="E10" t="s">
        <v>13</v>
      </c>
      <c r="F10">
        <v>1.6666666666666681</v>
      </c>
      <c r="G10" s="13">
        <v>6.0000000000000001E-3</v>
      </c>
    </row>
    <row r="11" spans="1:7" x14ac:dyDescent="0.2">
      <c r="A11" s="5" t="s">
        <v>1</v>
      </c>
      <c r="B11">
        <f>AVERAGE(F3:F14)</f>
        <v>0.18099264311059385</v>
      </c>
      <c r="E11" t="s">
        <v>14</v>
      </c>
      <c r="F11">
        <v>-6.6115702479338898</v>
      </c>
      <c r="G11" s="13">
        <v>6.0000000000000001E-3</v>
      </c>
    </row>
    <row r="12" spans="1:7" x14ac:dyDescent="0.2">
      <c r="A12" t="s">
        <v>18</v>
      </c>
      <c r="B12">
        <f>_xlfn.STDEV.S(F3:F14)</f>
        <v>3.2574305122697838</v>
      </c>
      <c r="E12" t="s">
        <v>15</v>
      </c>
      <c r="F12">
        <v>0.70921985815602906</v>
      </c>
      <c r="G12" s="13">
        <v>0.01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-2.2346368715083815</v>
      </c>
      <c r="G13" s="13">
        <v>5.0000000000000001E-3</v>
      </c>
    </row>
    <row r="14" spans="1:7" x14ac:dyDescent="0.2">
      <c r="A14" t="s">
        <v>21</v>
      </c>
      <c r="B14">
        <f>B12/SQRT(B13)</f>
        <v>0.94033919156273016</v>
      </c>
      <c r="E14" t="s">
        <v>17</v>
      </c>
      <c r="F14">
        <v>-4.9586776859504171</v>
      </c>
      <c r="G14" s="13">
        <v>6.0000000000000001E-3</v>
      </c>
    </row>
    <row r="15" spans="1:7" x14ac:dyDescent="0.2">
      <c r="A15" t="s">
        <v>23</v>
      </c>
      <c r="B15">
        <f>AVERAGE(G3:G14)</f>
        <v>9.9166666666666691E-3</v>
      </c>
    </row>
    <row r="16" spans="1:7" x14ac:dyDescent="0.2">
      <c r="A16" s="4" t="s">
        <v>24</v>
      </c>
      <c r="B16" s="6">
        <f>SQRT(B15^2+B14^2)</f>
        <v>0.94039147989899752</v>
      </c>
    </row>
    <row r="18" spans="1:2" x14ac:dyDescent="0.2">
      <c r="A18" s="1" t="s">
        <v>31</v>
      </c>
      <c r="B18" s="17">
        <f>SQRT(B8^2+B16^2)</f>
        <v>2.0043044018977323</v>
      </c>
    </row>
    <row r="19" spans="1:2" x14ac:dyDescent="0.2">
      <c r="A19" t="s">
        <v>25</v>
      </c>
      <c r="B19">
        <f>2*B18</f>
        <v>4.0086088037954646</v>
      </c>
    </row>
    <row r="20" spans="1:2" x14ac:dyDescent="0.2">
      <c r="A20" s="9" t="s">
        <v>47</v>
      </c>
      <c r="B20">
        <f>(2*B8)+ABS(B11)</f>
        <v>3.720992643110594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F56-9124-6B47-96DE-BD0BA2974B36}">
  <sheetPr>
    <tabColor rgb="FFFFC000"/>
  </sheetPr>
  <dimension ref="A2:G21"/>
  <sheetViews>
    <sheetView workbookViewId="0">
      <selection activeCell="B19" sqref="B1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2.7439024390243905</v>
      </c>
      <c r="G3" s="13">
        <v>0.96399999999999997</v>
      </c>
    </row>
    <row r="4" spans="1:7" x14ac:dyDescent="0.2">
      <c r="B4" s="2"/>
      <c r="E4" t="s">
        <v>7</v>
      </c>
      <c r="F4">
        <v>-2.834008097165992</v>
      </c>
      <c r="G4" s="13">
        <v>0.79100000000000004</v>
      </c>
    </row>
    <row r="5" spans="1:7" x14ac:dyDescent="0.2">
      <c r="E5" t="s">
        <v>8</v>
      </c>
      <c r="F5">
        <v>-4.4871794871794872</v>
      </c>
      <c r="G5" s="13">
        <v>0.44900000000000001</v>
      </c>
    </row>
    <row r="6" spans="1:7" x14ac:dyDescent="0.2">
      <c r="E6" t="s">
        <v>9</v>
      </c>
      <c r="F6">
        <v>-4.281345565749235</v>
      </c>
      <c r="G6" s="13">
        <v>0.95099999999999996</v>
      </c>
    </row>
    <row r="7" spans="1:7" x14ac:dyDescent="0.2">
      <c r="E7" t="s">
        <v>10</v>
      </c>
      <c r="F7">
        <v>-4.8582995951417001</v>
      </c>
      <c r="G7" s="13">
        <v>0.71799999999999997</v>
      </c>
    </row>
    <row r="8" spans="1:7" x14ac:dyDescent="0.2">
      <c r="A8" s="3" t="s">
        <v>2</v>
      </c>
      <c r="B8" s="6">
        <v>2</v>
      </c>
      <c r="E8" t="s">
        <v>11</v>
      </c>
      <c r="F8">
        <v>-4.2105263157894735</v>
      </c>
      <c r="G8" s="13">
        <v>0.27200000000000002</v>
      </c>
    </row>
    <row r="9" spans="1:7" x14ac:dyDescent="0.2">
      <c r="E9" t="s">
        <v>12</v>
      </c>
      <c r="F9">
        <v>-3.9877300613496933</v>
      </c>
      <c r="G9" s="13">
        <v>1.08</v>
      </c>
    </row>
    <row r="10" spans="1:7" x14ac:dyDescent="0.2">
      <c r="E10" t="s">
        <v>13</v>
      </c>
      <c r="F10">
        <v>-3.8216560509554141</v>
      </c>
      <c r="G10" s="13">
        <v>0.48799999999999999</v>
      </c>
    </row>
    <row r="11" spans="1:7" x14ac:dyDescent="0.2">
      <c r="A11" s="5" t="s">
        <v>1</v>
      </c>
      <c r="B11">
        <f>AVERAGE(F3:F14)</f>
        <v>-4.0979315180338647</v>
      </c>
      <c r="E11" t="s">
        <v>14</v>
      </c>
      <c r="F11">
        <v>-8.1419624217118969</v>
      </c>
      <c r="G11" s="13">
        <v>0.29299999999999998</v>
      </c>
    </row>
    <row r="12" spans="1:7" x14ac:dyDescent="0.2">
      <c r="A12" t="s">
        <v>18</v>
      </c>
      <c r="B12">
        <f>_xlfn.STDEV.S(F3:F14)</f>
        <v>2.5403645566141844</v>
      </c>
      <c r="E12" t="s">
        <v>15</v>
      </c>
      <c r="F12">
        <v>-5.6910569105691051</v>
      </c>
      <c r="G12" s="13">
        <v>0.73599999999999999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-3.8461538461538463</v>
      </c>
      <c r="G13" s="13">
        <v>0.44500000000000001</v>
      </c>
    </row>
    <row r="14" spans="1:7" x14ac:dyDescent="0.2">
      <c r="A14" t="s">
        <v>21</v>
      </c>
      <c r="B14">
        <f>B12/SQRT(B13)</f>
        <v>0.73334008030049191</v>
      </c>
      <c r="E14" t="s">
        <v>17</v>
      </c>
      <c r="F14">
        <v>-5.7591623036649215</v>
      </c>
      <c r="G14" s="13">
        <v>0.249</v>
      </c>
    </row>
    <row r="15" spans="1:7" x14ac:dyDescent="0.2">
      <c r="A15" t="s">
        <v>23</v>
      </c>
      <c r="B15">
        <f>AVERAGE(G3:G14)</f>
        <v>0.61966666666666659</v>
      </c>
    </row>
    <row r="16" spans="1:7" x14ac:dyDescent="0.2">
      <c r="A16" s="4" t="s">
        <v>24</v>
      </c>
      <c r="B16" s="6">
        <f>SQRT(B15^2+B14^2)</f>
        <v>0.96009085567612273</v>
      </c>
    </row>
    <row r="18" spans="1:2" x14ac:dyDescent="0.2">
      <c r="A18" s="1" t="s">
        <v>31</v>
      </c>
      <c r="B18" s="17">
        <f>SQRT(B8^2+B16^2)</f>
        <v>2.2185072574037052</v>
      </c>
    </row>
    <row r="19" spans="1:2" x14ac:dyDescent="0.2">
      <c r="A19" t="s">
        <v>25</v>
      </c>
      <c r="B19">
        <f>2*B18</f>
        <v>4.4370145148074105</v>
      </c>
    </row>
    <row r="21" spans="1:2" x14ac:dyDescent="0.2">
      <c r="A21" t="s">
        <v>48</v>
      </c>
      <c r="B21">
        <f>(2*B8)+ABS(B11)</f>
        <v>8.0979315180338638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C6AC-2E70-234D-A5A2-281F5E8AA9DC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1.1111111111111112</v>
      </c>
      <c r="G3" s="13">
        <v>0.46400000000000002</v>
      </c>
    </row>
    <row r="4" spans="1:7" x14ac:dyDescent="0.2">
      <c r="B4" s="2"/>
      <c r="E4" t="s">
        <v>7</v>
      </c>
      <c r="F4">
        <v>-0.74626865671641784</v>
      </c>
      <c r="G4" s="13">
        <v>0.36599999999999999</v>
      </c>
    </row>
    <row r="5" spans="1:7" x14ac:dyDescent="0.2">
      <c r="E5" t="s">
        <v>8</v>
      </c>
      <c r="F5">
        <v>0.97323600973235669</v>
      </c>
      <c r="G5" s="13">
        <v>0.222</v>
      </c>
    </row>
    <row r="6" spans="1:7" x14ac:dyDescent="0.2">
      <c r="E6" t="s">
        <v>9</v>
      </c>
      <c r="F6">
        <v>0.5617977528089888</v>
      </c>
      <c r="G6" s="13">
        <v>0.46200000000000002</v>
      </c>
    </row>
    <row r="7" spans="1:7" x14ac:dyDescent="0.2">
      <c r="E7" t="s">
        <v>10</v>
      </c>
      <c r="F7">
        <v>-2.2556390977443606</v>
      </c>
      <c r="G7" s="13">
        <v>0.33900000000000002</v>
      </c>
    </row>
    <row r="8" spans="1:7" x14ac:dyDescent="0.2">
      <c r="A8" s="3" t="s">
        <v>2</v>
      </c>
      <c r="B8" s="6">
        <v>3.16</v>
      </c>
      <c r="E8" t="s">
        <v>11</v>
      </c>
      <c r="F8">
        <v>-2.3354564755838672</v>
      </c>
      <c r="G8" s="13">
        <v>0.13400000000000001</v>
      </c>
    </row>
    <row r="9" spans="1:7" x14ac:dyDescent="0.2">
      <c r="E9" t="s">
        <v>12</v>
      </c>
      <c r="F9">
        <v>-3.0864197530864197</v>
      </c>
      <c r="G9" s="13">
        <v>0.64500000000000002</v>
      </c>
    </row>
    <row r="10" spans="1:7" x14ac:dyDescent="0.2">
      <c r="E10" t="s">
        <v>13</v>
      </c>
      <c r="F10">
        <v>-3.8718291054739726</v>
      </c>
      <c r="G10" s="13">
        <v>0.251</v>
      </c>
    </row>
    <row r="11" spans="1:7" x14ac:dyDescent="0.2">
      <c r="A11" s="5" t="s">
        <v>1</v>
      </c>
      <c r="B11">
        <f>AVERAGE(F3:F14)</f>
        <v>-0.79821372357686615</v>
      </c>
      <c r="E11" t="s">
        <v>14</v>
      </c>
      <c r="F11">
        <v>-1.9138755980861177</v>
      </c>
      <c r="G11" s="13">
        <v>0.13600000000000001</v>
      </c>
    </row>
    <row r="12" spans="1:7" x14ac:dyDescent="0.2">
      <c r="A12" t="s">
        <v>18</v>
      </c>
      <c r="B12">
        <f>_xlfn.STDEV.S(F3:F14)</f>
        <v>2.0877499005814921</v>
      </c>
      <c r="E12" t="s">
        <v>15</v>
      </c>
      <c r="F12">
        <v>0.81967213114754101</v>
      </c>
      <c r="G12" s="13">
        <v>0.377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3.0789825970548823</v>
      </c>
      <c r="G13" s="13">
        <v>0.23200000000000001</v>
      </c>
    </row>
    <row r="14" spans="1:7" x14ac:dyDescent="0.2">
      <c r="A14" t="s">
        <v>21</v>
      </c>
      <c r="B14">
        <f>B12/SQRT(B13)</f>
        <v>0.60268148355066953</v>
      </c>
      <c r="E14" t="s">
        <v>17</v>
      </c>
      <c r="F14">
        <v>-1.9138755980861177</v>
      </c>
      <c r="G14" s="13">
        <v>0.123</v>
      </c>
    </row>
    <row r="15" spans="1:7" x14ac:dyDescent="0.2">
      <c r="A15" t="s">
        <v>23</v>
      </c>
      <c r="B15">
        <f>AVERAGE(G3:G14)</f>
        <v>0.31258333333333338</v>
      </c>
    </row>
    <row r="16" spans="1:7" x14ac:dyDescent="0.2">
      <c r="A16" s="4" t="s">
        <v>24</v>
      </c>
      <c r="B16" s="6">
        <f>SQRT(B15^2+B14^2)</f>
        <v>0.67892069558425872</v>
      </c>
    </row>
    <row r="18" spans="1:2" x14ac:dyDescent="0.2">
      <c r="A18" s="1" t="s">
        <v>31</v>
      </c>
      <c r="B18" s="17">
        <f>SQRT(B8^2+B16^2)</f>
        <v>3.2321097306392019</v>
      </c>
    </row>
    <row r="19" spans="1:2" x14ac:dyDescent="0.2">
      <c r="A19" t="s">
        <v>25</v>
      </c>
      <c r="B19">
        <f>2*B18</f>
        <v>6.4642194612784039</v>
      </c>
    </row>
    <row r="21" spans="1:2" x14ac:dyDescent="0.2">
      <c r="A21" t="s">
        <v>48</v>
      </c>
      <c r="B21">
        <f>(2*B8)+ABS(B11)</f>
        <v>7.1182137235768668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4D3C-1F23-E54D-8AC6-0DF31974A012}">
  <sheetPr>
    <tabColor rgb="FFFFC000"/>
  </sheetPr>
  <dimension ref="A2:G22"/>
  <sheetViews>
    <sheetView workbookViewId="0">
      <selection activeCell="B23" sqref="B23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0.5747126436781691</v>
      </c>
      <c r="G3" s="13">
        <v>0.23300000000000001</v>
      </c>
    </row>
    <row r="4" spans="1:7" x14ac:dyDescent="0.2">
      <c r="B4" s="2" t="s">
        <v>0</v>
      </c>
      <c r="E4" t="s">
        <v>7</v>
      </c>
      <c r="F4">
        <v>-1.0600706713780943</v>
      </c>
      <c r="G4" s="13">
        <v>0.20499999999999999</v>
      </c>
    </row>
    <row r="5" spans="1:7" x14ac:dyDescent="0.2">
      <c r="A5" t="s">
        <v>3</v>
      </c>
      <c r="E5" t="s">
        <v>8</v>
      </c>
      <c r="F5">
        <v>-0.26954177897574505</v>
      </c>
      <c r="G5" s="13">
        <v>0.14399999999999999</v>
      </c>
    </row>
    <row r="6" spans="1:7" x14ac:dyDescent="0.2">
      <c r="A6" t="s">
        <v>4</v>
      </c>
      <c r="E6" t="s">
        <v>9</v>
      </c>
      <c r="F6">
        <v>2.9619181946403299</v>
      </c>
      <c r="G6" s="13">
        <v>0.23699999999999999</v>
      </c>
    </row>
    <row r="7" spans="1:7" x14ac:dyDescent="0.2">
      <c r="A7" t="s">
        <v>5</v>
      </c>
      <c r="E7" t="s">
        <v>10</v>
      </c>
      <c r="F7">
        <v>2.1126760563380333</v>
      </c>
      <c r="G7" s="13">
        <v>0.20899999999999999</v>
      </c>
    </row>
    <row r="8" spans="1:7" x14ac:dyDescent="0.2">
      <c r="A8" s="3" t="s">
        <v>2</v>
      </c>
      <c r="B8" s="6">
        <v>2.56</v>
      </c>
      <c r="E8" t="s">
        <v>11</v>
      </c>
      <c r="F8">
        <v>-1.7094017094017033</v>
      </c>
      <c r="G8" s="13">
        <v>9.5000000000000001E-2</v>
      </c>
    </row>
    <row r="9" spans="1:7" x14ac:dyDescent="0.2">
      <c r="E9" t="s">
        <v>12</v>
      </c>
      <c r="F9">
        <v>0.43041606886656691</v>
      </c>
      <c r="G9" s="13">
        <v>0.29199999999999998</v>
      </c>
    </row>
    <row r="10" spans="1:7" x14ac:dyDescent="0.2">
      <c r="E10" t="s">
        <v>13</v>
      </c>
      <c r="F10">
        <v>-1.0695187165775364</v>
      </c>
      <c r="G10" s="13">
        <v>0.16300000000000001</v>
      </c>
    </row>
    <row r="11" spans="1:7" x14ac:dyDescent="0.2">
      <c r="A11" s="5" t="s">
        <v>1</v>
      </c>
      <c r="B11">
        <f>AVERAGE(F3:F14)</f>
        <v>0.76212241688448545</v>
      </c>
      <c r="E11" t="s">
        <v>14</v>
      </c>
      <c r="F11">
        <v>-3.3613445378151288</v>
      </c>
      <c r="G11" s="13">
        <v>9.5000000000000001E-2</v>
      </c>
    </row>
    <row r="12" spans="1:7" x14ac:dyDescent="0.2">
      <c r="A12" t="s">
        <v>18</v>
      </c>
      <c r="B12">
        <f>_xlfn.STDEV.S(F3:F14)</f>
        <v>2.421543601050939</v>
      </c>
      <c r="E12" t="s">
        <v>15</v>
      </c>
      <c r="F12">
        <v>4.0564373897707178</v>
      </c>
      <c r="G12" s="13">
        <v>0.221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1.8766756032171661</v>
      </c>
      <c r="G13" s="13">
        <v>0.14299999999999999</v>
      </c>
    </row>
    <row r="14" spans="1:7" x14ac:dyDescent="0.2">
      <c r="A14" t="s">
        <v>21</v>
      </c>
      <c r="B14">
        <f>B12/SQRT(B13)</f>
        <v>0.69903942496058769</v>
      </c>
      <c r="E14" t="s">
        <v>17</v>
      </c>
      <c r="F14">
        <v>4.602510460251052</v>
      </c>
      <c r="G14" s="13">
        <v>9.1999999999999998E-2</v>
      </c>
    </row>
    <row r="15" spans="1:7" x14ac:dyDescent="0.2">
      <c r="A15" t="s">
        <v>23</v>
      </c>
      <c r="B15">
        <f>AVERAGE(G3:G14)</f>
        <v>0.17741666666666667</v>
      </c>
    </row>
    <row r="16" spans="1:7" x14ac:dyDescent="0.2">
      <c r="A16" s="4" t="s">
        <v>24</v>
      </c>
      <c r="B16" s="6">
        <f>SQRT(B15^2+B14^2)</f>
        <v>0.721202323388063</v>
      </c>
    </row>
    <row r="18" spans="1:2" x14ac:dyDescent="0.2">
      <c r="A18" s="1" t="s">
        <v>31</v>
      </c>
      <c r="B18" s="17">
        <f>SQRT(B8^2+B16^2)</f>
        <v>2.6596489977552191</v>
      </c>
    </row>
    <row r="20" spans="1:2" x14ac:dyDescent="0.2">
      <c r="A20" t="s">
        <v>25</v>
      </c>
      <c r="B20">
        <f>2*B18</f>
        <v>5.3192979955104382</v>
      </c>
    </row>
    <row r="22" spans="1:2" x14ac:dyDescent="0.2">
      <c r="A22" t="s">
        <v>48</v>
      </c>
      <c r="B22">
        <f>(2*B8)+ABS(B11)</f>
        <v>5.8821224168844859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247B-1EAC-0D47-B060-03EB169D98CF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-0.48426150121064343</v>
      </c>
      <c r="G3" s="13">
        <v>1.4E-2</v>
      </c>
    </row>
    <row r="4" spans="1:7" x14ac:dyDescent="0.2">
      <c r="B4" s="2" t="s">
        <v>0</v>
      </c>
      <c r="E4" t="s">
        <v>7</v>
      </c>
      <c r="F4">
        <v>-0.29806259314455402</v>
      </c>
      <c r="G4" s="13">
        <v>1.2E-2</v>
      </c>
    </row>
    <row r="5" spans="1:7" x14ac:dyDescent="0.2">
      <c r="A5" t="s">
        <v>3</v>
      </c>
      <c r="E5" t="s">
        <v>8</v>
      </c>
      <c r="F5">
        <v>0.81466395112016354</v>
      </c>
      <c r="G5" s="13">
        <v>8.9999999999999993E-3</v>
      </c>
    </row>
    <row r="6" spans="1:7" x14ac:dyDescent="0.2">
      <c r="A6" t="s">
        <v>4</v>
      </c>
      <c r="E6" t="s">
        <v>9</v>
      </c>
      <c r="F6">
        <v>0.72551390568319829</v>
      </c>
      <c r="G6" s="13">
        <v>1.4E-2</v>
      </c>
    </row>
    <row r="7" spans="1:7" x14ac:dyDescent="0.2">
      <c r="A7" t="s">
        <v>5</v>
      </c>
      <c r="E7" t="s">
        <v>10</v>
      </c>
      <c r="F7">
        <v>-1.3412816691505194</v>
      </c>
      <c r="G7" s="13">
        <v>1.2E-2</v>
      </c>
    </row>
    <row r="8" spans="1:7" x14ac:dyDescent="0.2">
      <c r="A8" s="3" t="s">
        <v>2</v>
      </c>
      <c r="B8" s="6">
        <v>1.18</v>
      </c>
      <c r="E8" t="s">
        <v>11</v>
      </c>
      <c r="F8">
        <v>-1.3477088948787015</v>
      </c>
      <c r="G8" s="13">
        <v>6.71</v>
      </c>
    </row>
    <row r="9" spans="1:7" x14ac:dyDescent="0.2">
      <c r="E9" t="s">
        <v>12</v>
      </c>
      <c r="F9">
        <v>-1.3210039630118959</v>
      </c>
      <c r="G9" s="13">
        <v>1.7000000000000001E-2</v>
      </c>
    </row>
    <row r="10" spans="1:7" x14ac:dyDescent="0.2">
      <c r="E10" t="s">
        <v>13</v>
      </c>
      <c r="F10">
        <v>2.5751072961373414</v>
      </c>
      <c r="G10" s="13">
        <v>8.9999999999999993E-3</v>
      </c>
    </row>
    <row r="11" spans="1:7" x14ac:dyDescent="0.2">
      <c r="A11" s="5" t="s">
        <v>1</v>
      </c>
      <c r="B11">
        <f>AVERAGE(F3:F14)</f>
        <v>1.0582542577047176</v>
      </c>
      <c r="E11" t="s">
        <v>14</v>
      </c>
      <c r="F11">
        <v>5.5555555555555483</v>
      </c>
      <c r="G11" s="13">
        <v>8.0000000000000002E-3</v>
      </c>
    </row>
    <row r="12" spans="1:7" x14ac:dyDescent="0.2">
      <c r="A12" t="s">
        <v>18</v>
      </c>
      <c r="B12">
        <f>_xlfn.STDEV.S(F3:F14)</f>
        <v>2.1756327357017371</v>
      </c>
      <c r="E12" t="s">
        <v>15</v>
      </c>
      <c r="F12">
        <v>2.3961661341853091</v>
      </c>
      <c r="G12" s="13">
        <v>1.2999999999999999E-2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2.1276595744680775</v>
      </c>
      <c r="G13" s="13">
        <v>1.0999999999999999E-2</v>
      </c>
    </row>
    <row r="14" spans="1:7" x14ac:dyDescent="0.2">
      <c r="A14" t="s">
        <v>21</v>
      </c>
      <c r="B14">
        <f>B12/SQRT(B13)</f>
        <v>0.62805107280757999</v>
      </c>
      <c r="E14" t="s">
        <v>17</v>
      </c>
      <c r="F14">
        <v>3.2967032967032872</v>
      </c>
      <c r="G14" s="13">
        <v>8.0000000000000002E-3</v>
      </c>
    </row>
    <row r="15" spans="1:7" x14ac:dyDescent="0.2">
      <c r="A15" t="s">
        <v>23</v>
      </c>
      <c r="B15">
        <f>AVERAGE(G3:G14)</f>
        <v>0.56975000000000009</v>
      </c>
    </row>
    <row r="16" spans="1:7" x14ac:dyDescent="0.2">
      <c r="A16" s="4" t="s">
        <v>24</v>
      </c>
      <c r="B16" s="6">
        <f>SQRT(B15^2+B14^2)</f>
        <v>0.84797595045776641</v>
      </c>
    </row>
    <row r="18" spans="1:2" x14ac:dyDescent="0.2">
      <c r="A18" s="1" t="s">
        <v>31</v>
      </c>
      <c r="B18" s="17">
        <f>SQRT(B8^2+B16^2)</f>
        <v>1.4530874758784318</v>
      </c>
    </row>
    <row r="19" spans="1:2" x14ac:dyDescent="0.2">
      <c r="A19" t="s">
        <v>25</v>
      </c>
      <c r="B19">
        <f>2*B18</f>
        <v>2.9061749517568636</v>
      </c>
    </row>
    <row r="21" spans="1:2" x14ac:dyDescent="0.2">
      <c r="A21" t="s">
        <v>48</v>
      </c>
      <c r="B21">
        <f>(2*B8)+ABS(B11)</f>
        <v>3.4182542577047172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388D-CB2C-B642-A982-9EE0294B78FE}">
  <sheetPr>
    <tabColor rgb="FFFFC000"/>
  </sheetPr>
  <dimension ref="A2:G21"/>
  <sheetViews>
    <sheetView workbookViewId="0">
      <selection activeCell="B12" sqref="B1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</v>
      </c>
      <c r="G3" s="13">
        <v>8.9999999999999993E-3</v>
      </c>
    </row>
    <row r="4" spans="1:7" x14ac:dyDescent="0.2">
      <c r="B4" s="2" t="s">
        <v>0</v>
      </c>
      <c r="E4" t="s">
        <v>7</v>
      </c>
      <c r="F4">
        <v>0.48309178743962466</v>
      </c>
      <c r="G4" s="13">
        <v>7.0000000000000001E-3</v>
      </c>
    </row>
    <row r="5" spans="1:7" x14ac:dyDescent="0.2">
      <c r="A5" t="s">
        <v>3</v>
      </c>
      <c r="E5" t="s">
        <v>8</v>
      </c>
      <c r="F5">
        <v>-2.2435897435897525</v>
      </c>
      <c r="G5" s="13">
        <v>6.0000000000000001E-3</v>
      </c>
    </row>
    <row r="6" spans="1:7" x14ac:dyDescent="0.2">
      <c r="A6" t="s">
        <v>4</v>
      </c>
      <c r="E6" t="s">
        <v>9</v>
      </c>
      <c r="F6">
        <v>0.19762845849803706</v>
      </c>
      <c r="G6" s="13">
        <v>8.0000000000000002E-3</v>
      </c>
    </row>
    <row r="7" spans="1:7" x14ac:dyDescent="0.2">
      <c r="A7" t="s">
        <v>5</v>
      </c>
      <c r="E7" t="s">
        <v>10</v>
      </c>
      <c r="F7">
        <v>-1.4492753623188313</v>
      </c>
      <c r="G7" s="13">
        <v>8.0000000000000002E-3</v>
      </c>
    </row>
    <row r="8" spans="1:7" x14ac:dyDescent="0.2">
      <c r="A8" s="3" t="s">
        <v>2</v>
      </c>
      <c r="B8" s="6">
        <v>4.0999999999999996</v>
      </c>
      <c r="E8" t="s">
        <v>11</v>
      </c>
      <c r="F8">
        <v>-1.2605042016806642</v>
      </c>
      <c r="G8" s="13">
        <v>5.0000000000000001E-3</v>
      </c>
    </row>
    <row r="9" spans="1:7" x14ac:dyDescent="0.2">
      <c r="E9" t="s">
        <v>12</v>
      </c>
      <c r="F9">
        <v>-1.0706638115631655</v>
      </c>
      <c r="G9" s="13">
        <v>0.01</v>
      </c>
    </row>
    <row r="10" spans="1:7" x14ac:dyDescent="0.2">
      <c r="E10" t="s">
        <v>13</v>
      </c>
      <c r="F10">
        <v>-2.0547945205479472</v>
      </c>
      <c r="G10" s="13">
        <v>6.0000000000000001E-3</v>
      </c>
    </row>
    <row r="11" spans="1:7" x14ac:dyDescent="0.2">
      <c r="A11" s="5" t="s">
        <v>1</v>
      </c>
      <c r="B11">
        <f>AVERAGE(F3:F14)</f>
        <v>-0.70050706233031912</v>
      </c>
      <c r="E11" t="s">
        <v>14</v>
      </c>
      <c r="F11">
        <v>-2.2123893805309658</v>
      </c>
      <c r="G11" s="13">
        <v>5.0000000000000001E-3</v>
      </c>
    </row>
    <row r="12" spans="1:7" x14ac:dyDescent="0.2">
      <c r="A12" t="s">
        <v>18</v>
      </c>
      <c r="B12">
        <f>_xlfn.STDEV.S(F3:F14)</f>
        <v>1.132536865760382</v>
      </c>
      <c r="E12" t="s">
        <v>15</v>
      </c>
      <c r="F12">
        <v>0.51948051948051988</v>
      </c>
      <c r="G12" s="13">
        <v>7.0000000000000001E-3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0.6849315068493157</v>
      </c>
      <c r="G13" s="13">
        <v>6.0000000000000001E-3</v>
      </c>
    </row>
    <row r="14" spans="1:7" x14ac:dyDescent="0.2">
      <c r="A14" t="s">
        <v>21</v>
      </c>
      <c r="B14">
        <f>B12/SQRT(B13)</f>
        <v>0.32693523215696585</v>
      </c>
      <c r="E14" t="s">
        <v>17</v>
      </c>
      <c r="F14">
        <v>0</v>
      </c>
      <c r="G14" s="13">
        <v>5.0000000000000001E-3</v>
      </c>
    </row>
    <row r="15" spans="1:7" x14ac:dyDescent="0.2">
      <c r="A15" t="s">
        <v>23</v>
      </c>
      <c r="B15">
        <f>AVERAGE(G3:G14)</f>
        <v>6.8333333333333345E-3</v>
      </c>
    </row>
    <row r="16" spans="1:7" x14ac:dyDescent="0.2">
      <c r="A16" s="4" t="s">
        <v>24</v>
      </c>
      <c r="B16" s="6">
        <f>SQRT(B15^2+B14^2)</f>
        <v>0.3270066367368919</v>
      </c>
    </row>
    <row r="18" spans="1:2" x14ac:dyDescent="0.2">
      <c r="A18" s="1" t="s">
        <v>31</v>
      </c>
      <c r="B18" s="17">
        <f>SQRT(B8^2+B16^2)</f>
        <v>4.1130199781267747</v>
      </c>
    </row>
    <row r="19" spans="1:2" x14ac:dyDescent="0.2">
      <c r="A19" t="s">
        <v>25</v>
      </c>
      <c r="B19">
        <f>2*B18</f>
        <v>8.2260399562535493</v>
      </c>
    </row>
    <row r="21" spans="1:2" x14ac:dyDescent="0.2">
      <c r="A21" t="s">
        <v>48</v>
      </c>
      <c r="B21">
        <f>(2*B8)+ABS(B11)</f>
        <v>8.900507062330318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A5F-A551-B948-8B2D-887C3447FA4D}">
  <sheetPr>
    <tabColor rgb="FFFFC000"/>
  </sheetPr>
  <dimension ref="A2:G21"/>
  <sheetViews>
    <sheetView workbookViewId="0">
      <selection activeCell="E26" sqref="E26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0.20746887966804536</v>
      </c>
      <c r="G3" s="13">
        <v>2.1000000000000001E-2</v>
      </c>
    </row>
    <row r="4" spans="1:7" x14ac:dyDescent="0.2">
      <c r="B4" s="2" t="s">
        <v>0</v>
      </c>
      <c r="E4" t="s">
        <v>7</v>
      </c>
      <c r="F4">
        <v>0.43041606886657463</v>
      </c>
      <c r="G4" s="13">
        <v>1.4E-2</v>
      </c>
    </row>
    <row r="5" spans="1:7" x14ac:dyDescent="0.2">
      <c r="A5" t="s">
        <v>3</v>
      </c>
      <c r="E5" t="s">
        <v>8</v>
      </c>
      <c r="F5">
        <v>-0.51413881748072032</v>
      </c>
      <c r="G5" s="13">
        <v>0.01</v>
      </c>
    </row>
    <row r="6" spans="1:7" x14ac:dyDescent="0.2">
      <c r="A6" t="s">
        <v>4</v>
      </c>
      <c r="E6" t="s">
        <v>9</v>
      </c>
      <c r="F6">
        <v>-0.51813471502591402</v>
      </c>
      <c r="G6" s="13">
        <v>2.1000000000000001E-2</v>
      </c>
    </row>
    <row r="7" spans="1:7" x14ac:dyDescent="0.2">
      <c r="A7" t="s">
        <v>5</v>
      </c>
      <c r="E7" t="s">
        <v>10</v>
      </c>
      <c r="F7">
        <v>-1.4347202295552317</v>
      </c>
      <c r="G7" s="13">
        <v>1.4E-2</v>
      </c>
    </row>
    <row r="8" spans="1:7" x14ac:dyDescent="0.2">
      <c r="A8" s="3" t="s">
        <v>2</v>
      </c>
      <c r="B8" s="6">
        <v>1.91</v>
      </c>
      <c r="E8" t="s">
        <v>11</v>
      </c>
      <c r="F8">
        <v>0.57142857142857195</v>
      </c>
      <c r="G8" s="13">
        <v>5.0000000000000001E-3</v>
      </c>
    </row>
    <row r="9" spans="1:7" x14ac:dyDescent="0.2">
      <c r="E9" t="s">
        <v>12</v>
      </c>
      <c r="F9">
        <v>1.6666666666666705</v>
      </c>
      <c r="G9" s="13">
        <v>2.1999999999999999E-2</v>
      </c>
    </row>
    <row r="10" spans="1:7" x14ac:dyDescent="0.2">
      <c r="E10" t="s">
        <v>13</v>
      </c>
      <c r="F10">
        <v>-2.3323615160349873</v>
      </c>
      <c r="G10" s="13">
        <v>7.0000000000000001E-3</v>
      </c>
    </row>
    <row r="11" spans="1:7" x14ac:dyDescent="0.2">
      <c r="A11" s="5" t="s">
        <v>1</v>
      </c>
      <c r="B11">
        <f>AVERAGE(F3:F14)</f>
        <v>-0.65651441514573028</v>
      </c>
      <c r="E11" t="s">
        <v>14</v>
      </c>
      <c r="F11">
        <v>-0.76923076923076983</v>
      </c>
      <c r="G11" s="13">
        <v>3.0000000000000001E-3</v>
      </c>
    </row>
    <row r="12" spans="1:7" x14ac:dyDescent="0.2">
      <c r="A12" t="s">
        <v>18</v>
      </c>
      <c r="B12">
        <f>_xlfn.STDEV.S(F3:F14)</f>
        <v>1.2980724085954383</v>
      </c>
      <c r="E12" t="s">
        <v>15</v>
      </c>
      <c r="F12">
        <v>-1.2288786482334881</v>
      </c>
      <c r="G12" s="13">
        <v>1.4E-2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-0.87976539589443536</v>
      </c>
      <c r="G13" s="13">
        <v>7.0000000000000001E-3</v>
      </c>
    </row>
    <row r="14" spans="1:7" x14ac:dyDescent="0.2">
      <c r="A14" t="s">
        <v>21</v>
      </c>
      <c r="B14">
        <f>B12/SQRT(B13)</f>
        <v>0.3747212272651011</v>
      </c>
      <c r="E14" t="s">
        <v>17</v>
      </c>
      <c r="F14">
        <v>-3.0769230769230793</v>
      </c>
      <c r="G14" s="13">
        <v>3.0000000000000001E-3</v>
      </c>
    </row>
    <row r="15" spans="1:7" x14ac:dyDescent="0.2">
      <c r="A15" t="s">
        <v>23</v>
      </c>
      <c r="B15">
        <f>AVERAGE(G3:G14)</f>
        <v>1.1750000000000003E-2</v>
      </c>
    </row>
    <row r="16" spans="1:7" x14ac:dyDescent="0.2">
      <c r="A16" s="4" t="s">
        <v>24</v>
      </c>
      <c r="B16" s="6">
        <f>SQRT(B15^2+B14^2)</f>
        <v>0.37490540228578134</v>
      </c>
    </row>
    <row r="18" spans="1:2" x14ac:dyDescent="0.2">
      <c r="A18" s="1" t="s">
        <v>31</v>
      </c>
      <c r="B18" s="17">
        <f>SQRT(B8^2+B16^2)</f>
        <v>1.9464465213981768</v>
      </c>
    </row>
    <row r="19" spans="1:2" x14ac:dyDescent="0.2">
      <c r="A19" t="s">
        <v>25</v>
      </c>
      <c r="B19">
        <f>2*B18</f>
        <v>3.8928930427963535</v>
      </c>
    </row>
    <row r="21" spans="1:2" x14ac:dyDescent="0.2">
      <c r="A21" t="s">
        <v>48</v>
      </c>
      <c r="B21">
        <f>(2*B8)+ABS(B11)</f>
        <v>4.4765144151457301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63A4-44AA-BE4B-9744-A65B62DE6178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2.2813688212927778</v>
      </c>
      <c r="G3" s="11">
        <v>3.94</v>
      </c>
    </row>
    <row r="4" spans="1:7" x14ac:dyDescent="0.2">
      <c r="B4" s="2" t="s">
        <v>0</v>
      </c>
      <c r="E4" t="s">
        <v>7</v>
      </c>
      <c r="F4">
        <v>2.8571428571428594</v>
      </c>
      <c r="G4" s="12">
        <v>7.0000000000000001E-3</v>
      </c>
    </row>
    <row r="5" spans="1:7" x14ac:dyDescent="0.2">
      <c r="A5" t="s">
        <v>3</v>
      </c>
      <c r="E5" t="s">
        <v>8</v>
      </c>
      <c r="F5">
        <v>0.66225165562913968</v>
      </c>
      <c r="G5" s="12">
        <v>5.0000000000000001E-3</v>
      </c>
    </row>
    <row r="6" spans="1:7" x14ac:dyDescent="0.2">
      <c r="A6" t="s">
        <v>4</v>
      </c>
      <c r="E6" t="s">
        <v>9</v>
      </c>
      <c r="F6">
        <v>0</v>
      </c>
      <c r="G6" s="12">
        <v>8.0000000000000002E-3</v>
      </c>
    </row>
    <row r="7" spans="1:7" x14ac:dyDescent="0.2">
      <c r="A7" t="s">
        <v>5</v>
      </c>
      <c r="E7" t="s">
        <v>10</v>
      </c>
      <c r="F7">
        <v>3.3333333333333255</v>
      </c>
      <c r="G7" s="12">
        <v>7.0000000000000001E-3</v>
      </c>
    </row>
    <row r="8" spans="1:7" x14ac:dyDescent="0.2">
      <c r="A8" s="3" t="s">
        <v>2</v>
      </c>
      <c r="B8" s="6">
        <v>2.75</v>
      </c>
      <c r="E8" t="s">
        <v>11</v>
      </c>
      <c r="F8">
        <v>-0.91930541368743701</v>
      </c>
      <c r="G8" s="12">
        <v>3.0000000000000001E-3</v>
      </c>
    </row>
    <row r="9" spans="1:7" x14ac:dyDescent="0.2">
      <c r="E9" t="s">
        <v>12</v>
      </c>
      <c r="F9">
        <v>-4.4117647058823568</v>
      </c>
      <c r="G9" s="12">
        <v>1.4999999999999999E-2</v>
      </c>
    </row>
    <row r="10" spans="1:7" x14ac:dyDescent="0.2">
      <c r="E10" t="s">
        <v>13</v>
      </c>
      <c r="F10">
        <v>-5.217391304347812</v>
      </c>
      <c r="G10" s="12">
        <v>7.0000000000000001E-3</v>
      </c>
    </row>
    <row r="11" spans="1:7" x14ac:dyDescent="0.2">
      <c r="A11" s="5" t="s">
        <v>1</v>
      </c>
      <c r="B11">
        <f>AVERAGE(F3:F14)</f>
        <v>-1.0816174745213425</v>
      </c>
      <c r="E11" t="s">
        <v>14</v>
      </c>
      <c r="F11">
        <v>-2.5191675794085455</v>
      </c>
      <c r="G11" s="12">
        <v>3.0000000000000001E-3</v>
      </c>
    </row>
    <row r="12" spans="1:7" x14ac:dyDescent="0.2">
      <c r="A12" t="s">
        <v>18</v>
      </c>
      <c r="B12">
        <f>_xlfn.STDEV.S(F3:F14)</f>
        <v>3.1298168846630321</v>
      </c>
      <c r="E12" t="s">
        <v>15</v>
      </c>
      <c r="F12">
        <v>-3.8461538461538494</v>
      </c>
      <c r="G12" s="12">
        <v>1.0999999999999999E-2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-5.3097345132743214</v>
      </c>
      <c r="G13" s="12">
        <v>6.0000000000000001E-3</v>
      </c>
    </row>
    <row r="14" spans="1:7" x14ac:dyDescent="0.2">
      <c r="A14" t="s">
        <v>21</v>
      </c>
      <c r="B14">
        <f>B12/SQRT(B13)</f>
        <v>0.90350031043721879</v>
      </c>
      <c r="E14" t="s">
        <v>17</v>
      </c>
      <c r="F14">
        <v>0.11001100110011011</v>
      </c>
      <c r="G14" s="12">
        <v>3.0000000000000001E-3</v>
      </c>
    </row>
    <row r="15" spans="1:7" x14ac:dyDescent="0.2">
      <c r="A15" t="s">
        <v>23</v>
      </c>
      <c r="B15">
        <f>AVERAGE(G3:G14)</f>
        <v>0.3345833333333334</v>
      </c>
    </row>
    <row r="16" spans="1:7" x14ac:dyDescent="0.2">
      <c r="A16" s="4" t="s">
        <v>24</v>
      </c>
      <c r="B16" s="6">
        <f>SQRT(B15^2+B14^2)</f>
        <v>0.96346189229496526</v>
      </c>
    </row>
    <row r="18" spans="1:2" x14ac:dyDescent="0.2">
      <c r="A18" s="1" t="s">
        <v>31</v>
      </c>
      <c r="B18" s="17">
        <f>SQRT(B8^2+B16^2)</f>
        <v>2.9138906667726219</v>
      </c>
    </row>
    <row r="19" spans="1:2" x14ac:dyDescent="0.2">
      <c r="A19" t="s">
        <v>25</v>
      </c>
      <c r="B19">
        <f>2*B18</f>
        <v>5.8277813335452437</v>
      </c>
    </row>
    <row r="21" spans="1:2" x14ac:dyDescent="0.2">
      <c r="A21" t="s">
        <v>48</v>
      </c>
      <c r="B21">
        <f>(2*B8)+ABS(B11)</f>
        <v>6.5816174745213427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4B67-B370-3944-B337-357CBA3EC818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4.9122807017543861</v>
      </c>
      <c r="G3" s="11">
        <v>0.88</v>
      </c>
    </row>
    <row r="4" spans="1:7" x14ac:dyDescent="0.2">
      <c r="B4" s="2" t="s">
        <v>0</v>
      </c>
      <c r="E4" t="s">
        <v>7</v>
      </c>
      <c r="F4">
        <v>0.52910052910052907</v>
      </c>
      <c r="G4" s="12">
        <v>0.64100000000000001</v>
      </c>
    </row>
    <row r="5" spans="1:7" x14ac:dyDescent="0.2">
      <c r="A5" t="s">
        <v>3</v>
      </c>
      <c r="E5" t="s">
        <v>8</v>
      </c>
      <c r="F5">
        <v>0.60975609756096982</v>
      </c>
      <c r="G5" s="12">
        <v>0.27300000000000002</v>
      </c>
    </row>
    <row r="6" spans="1:7" x14ac:dyDescent="0.2">
      <c r="A6" t="s">
        <v>4</v>
      </c>
      <c r="E6" t="s">
        <v>9</v>
      </c>
      <c r="F6">
        <v>1.056338028169014</v>
      </c>
      <c r="G6" s="12">
        <v>0.85499999999999998</v>
      </c>
    </row>
    <row r="7" spans="1:7" x14ac:dyDescent="0.2">
      <c r="A7" t="s">
        <v>5</v>
      </c>
      <c r="E7" t="s">
        <v>10</v>
      </c>
      <c r="F7">
        <v>0.52631578947368418</v>
      </c>
      <c r="G7" s="12">
        <v>0.61</v>
      </c>
    </row>
    <row r="8" spans="1:7" x14ac:dyDescent="0.2">
      <c r="A8" s="3" t="s">
        <v>2</v>
      </c>
      <c r="B8" s="6">
        <v>2.36</v>
      </c>
      <c r="E8" t="s">
        <v>11</v>
      </c>
      <c r="F8">
        <v>1.1904761904761862</v>
      </c>
      <c r="G8" s="12">
        <v>0.11600000000000001</v>
      </c>
    </row>
    <row r="9" spans="1:7" x14ac:dyDescent="0.2">
      <c r="E9" t="s">
        <v>12</v>
      </c>
      <c r="F9">
        <v>0.67796610169491522</v>
      </c>
      <c r="G9" s="12">
        <v>1.05</v>
      </c>
    </row>
    <row r="10" spans="1:7" x14ac:dyDescent="0.2">
      <c r="E10" t="s">
        <v>13</v>
      </c>
      <c r="F10">
        <v>0.90090090090090091</v>
      </c>
      <c r="G10" s="12">
        <v>0.34699999999999998</v>
      </c>
    </row>
    <row r="11" spans="1:7" x14ac:dyDescent="0.2">
      <c r="A11" s="5" t="s">
        <v>1</v>
      </c>
      <c r="B11">
        <f>AVERAGE(F3:F14)</f>
        <v>0.63161337720589428</v>
      </c>
      <c r="E11" t="s">
        <v>14</v>
      </c>
      <c r="F11">
        <v>-5.1094890510948936</v>
      </c>
      <c r="G11" s="12">
        <v>0.153</v>
      </c>
    </row>
    <row r="12" spans="1:7" x14ac:dyDescent="0.2">
      <c r="A12" t="s">
        <v>18</v>
      </c>
      <c r="B12">
        <f>_xlfn.STDEV.S(F3:F14)</f>
        <v>2.2726620254609715</v>
      </c>
      <c r="E12" t="s">
        <v>15</v>
      </c>
      <c r="F12">
        <v>1.0050251256281406</v>
      </c>
      <c r="G12" s="12">
        <v>0.69799999999999995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-0.90909090909090906</v>
      </c>
      <c r="G13" s="12">
        <v>0.32200000000000001</v>
      </c>
    </row>
    <row r="14" spans="1:7" x14ac:dyDescent="0.2">
      <c r="A14" t="s">
        <v>21</v>
      </c>
      <c r="B14">
        <f>B12/SQRT(B13)</f>
        <v>0.65606101608846601</v>
      </c>
      <c r="E14" t="s">
        <v>17</v>
      </c>
      <c r="F14">
        <v>2.1897810218978067</v>
      </c>
      <c r="G14" s="12">
        <v>0.14399999999999999</v>
      </c>
    </row>
    <row r="15" spans="1:7" x14ac:dyDescent="0.2">
      <c r="A15" t="s">
        <v>23</v>
      </c>
      <c r="B15">
        <f>AVERAGE(G3:G14)</f>
        <v>0.50741666666666663</v>
      </c>
    </row>
    <row r="16" spans="1:7" x14ac:dyDescent="0.2">
      <c r="A16" s="4" t="s">
        <v>24</v>
      </c>
      <c r="B16" s="6">
        <f>SQRT(B15^2+B14^2)</f>
        <v>0.82938997488644728</v>
      </c>
    </row>
    <row r="18" spans="1:2" x14ac:dyDescent="0.2">
      <c r="A18" s="1" t="s">
        <v>31</v>
      </c>
      <c r="B18" s="17">
        <f>SQRT(B8^2+B16^2)</f>
        <v>2.5014970978280466</v>
      </c>
    </row>
    <row r="19" spans="1:2" x14ac:dyDescent="0.2">
      <c r="A19" t="s">
        <v>25</v>
      </c>
      <c r="B19">
        <f>2*B18</f>
        <v>5.0029941956560933</v>
      </c>
    </row>
    <row r="21" spans="1:2" x14ac:dyDescent="0.2">
      <c r="A21" t="s">
        <v>48</v>
      </c>
      <c r="B21">
        <f>(2*B8)+ABS(B11)</f>
        <v>5.3516133772058936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0EFA-1F93-1147-B580-C31FF5123854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5.5276381909547743</v>
      </c>
      <c r="G3" s="11">
        <v>0.64300000000000002</v>
      </c>
    </row>
    <row r="4" spans="1:7" x14ac:dyDescent="0.2">
      <c r="B4" s="2" t="s">
        <v>0</v>
      </c>
      <c r="E4" t="s">
        <v>7</v>
      </c>
      <c r="F4">
        <v>2.1739130434782608</v>
      </c>
      <c r="G4" s="12">
        <v>0.42899999999999999</v>
      </c>
    </row>
    <row r="5" spans="1:7" x14ac:dyDescent="0.2">
      <c r="A5" t="s">
        <v>3</v>
      </c>
      <c r="E5" t="s">
        <v>8</v>
      </c>
      <c r="F5">
        <v>-0.97629009762901364</v>
      </c>
      <c r="G5" s="12">
        <v>0.24</v>
      </c>
    </row>
    <row r="6" spans="1:7" x14ac:dyDescent="0.2">
      <c r="A6" t="s">
        <v>4</v>
      </c>
      <c r="E6" t="s">
        <v>9</v>
      </c>
      <c r="F6">
        <v>1.5075376884422109</v>
      </c>
      <c r="G6" s="12">
        <v>0.60799999999999998</v>
      </c>
    </row>
    <row r="7" spans="1:7" x14ac:dyDescent="0.2">
      <c r="A7" t="s">
        <v>5</v>
      </c>
      <c r="E7" t="s">
        <v>10</v>
      </c>
      <c r="F7">
        <v>0</v>
      </c>
      <c r="G7" s="12">
        <v>0.40300000000000002</v>
      </c>
    </row>
    <row r="8" spans="1:7" x14ac:dyDescent="0.2">
      <c r="A8" s="3" t="s">
        <v>2</v>
      </c>
      <c r="B8" s="6">
        <v>2.68</v>
      </c>
      <c r="E8" t="s">
        <v>11</v>
      </c>
      <c r="F8">
        <v>0.69444444444444198</v>
      </c>
      <c r="G8" s="12">
        <v>9.9000000000000005E-2</v>
      </c>
    </row>
    <row r="9" spans="1:7" x14ac:dyDescent="0.2">
      <c r="E9" t="s">
        <v>12</v>
      </c>
      <c r="F9">
        <v>3.8961038961038938</v>
      </c>
      <c r="G9" s="12">
        <v>0.14699999999999999</v>
      </c>
    </row>
    <row r="10" spans="1:7" x14ac:dyDescent="0.2">
      <c r="E10" t="s">
        <v>13</v>
      </c>
      <c r="F10">
        <v>1.0775862068965518</v>
      </c>
      <c r="G10" s="12">
        <v>1.31</v>
      </c>
    </row>
    <row r="11" spans="1:7" x14ac:dyDescent="0.2">
      <c r="A11" s="5" t="s">
        <v>1</v>
      </c>
      <c r="B11">
        <f>AVERAGE(F3:F14)</f>
        <v>0.85482810918213614</v>
      </c>
      <c r="E11" t="s">
        <v>14</v>
      </c>
      <c r="F11">
        <v>-2.8436018957345972</v>
      </c>
      <c r="G11" s="12">
        <v>0.65</v>
      </c>
    </row>
    <row r="12" spans="1:7" x14ac:dyDescent="0.2">
      <c r="A12" t="s">
        <v>18</v>
      </c>
      <c r="B12">
        <f>_xlfn.STDEV.S(F3:F14)</f>
        <v>2.2854362486954805</v>
      </c>
      <c r="E12" t="s">
        <v>15</v>
      </c>
      <c r="F12">
        <v>-0.44742729306488327</v>
      </c>
      <c r="G12" s="12">
        <v>0.26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-1.3043478260869565</v>
      </c>
      <c r="G13" s="12">
        <v>1.0900000000000001</v>
      </c>
    </row>
    <row r="14" spans="1:7" x14ac:dyDescent="0.2">
      <c r="A14" t="s">
        <v>21</v>
      </c>
      <c r="B14">
        <f>B12/SQRT(B13)</f>
        <v>0.65974861670003215</v>
      </c>
      <c r="E14" t="s">
        <v>17</v>
      </c>
      <c r="F14">
        <v>0.95238095238095244</v>
      </c>
      <c r="G14" s="12">
        <v>0.48599999999999999</v>
      </c>
    </row>
    <row r="15" spans="1:7" x14ac:dyDescent="0.2">
      <c r="A15" t="s">
        <v>23</v>
      </c>
      <c r="B15">
        <f>AVERAGE(G3:G14)</f>
        <v>0.53041666666666665</v>
      </c>
    </row>
    <row r="16" spans="1:7" x14ac:dyDescent="0.2">
      <c r="A16" s="4" t="s">
        <v>24</v>
      </c>
      <c r="B16" s="6">
        <f>SQRT(B15^2+B14^2)</f>
        <v>0.84652824968537443</v>
      </c>
    </row>
    <row r="18" spans="1:2" x14ac:dyDescent="0.2">
      <c r="A18" s="1" t="s">
        <v>31</v>
      </c>
      <c r="B18" s="17">
        <f>SQRT(B8^2+B16^2)</f>
        <v>2.8105177596868844</v>
      </c>
    </row>
    <row r="19" spans="1:2" x14ac:dyDescent="0.2">
      <c r="A19" t="s">
        <v>25</v>
      </c>
      <c r="B19">
        <f>2*B18</f>
        <v>5.6210355193737689</v>
      </c>
    </row>
    <row r="21" spans="1:2" x14ac:dyDescent="0.2">
      <c r="A21" t="s">
        <v>48</v>
      </c>
      <c r="B21">
        <f>(2*B8)+ABS(B11)</f>
        <v>6.214828109182136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EC84-EB3D-4747-893D-F5FB1433C50A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-0.57471264367816088</v>
      </c>
      <c r="G3" s="11">
        <v>0.90200000000000002</v>
      </c>
    </row>
    <row r="4" spans="1:7" x14ac:dyDescent="0.2">
      <c r="B4" s="2" t="s">
        <v>0</v>
      </c>
      <c r="E4" t="s">
        <v>7</v>
      </c>
      <c r="F4">
        <v>0.39840637450199201</v>
      </c>
      <c r="G4" s="12">
        <v>0.63600000000000001</v>
      </c>
    </row>
    <row r="5" spans="1:7" x14ac:dyDescent="0.2">
      <c r="A5" t="s">
        <v>3</v>
      </c>
      <c r="E5" t="s">
        <v>8</v>
      </c>
      <c r="F5">
        <v>2.0689655172413794</v>
      </c>
      <c r="G5" s="12">
        <v>0.34799999999999998</v>
      </c>
    </row>
    <row r="6" spans="1:7" x14ac:dyDescent="0.2">
      <c r="A6" t="s">
        <v>4</v>
      </c>
      <c r="E6" t="s">
        <v>9</v>
      </c>
      <c r="F6">
        <v>0.57471264367816088</v>
      </c>
      <c r="G6" s="12">
        <v>0.83699999999999997</v>
      </c>
    </row>
    <row r="7" spans="1:7" x14ac:dyDescent="0.2">
      <c r="A7" t="s">
        <v>5</v>
      </c>
      <c r="E7" t="s">
        <v>10</v>
      </c>
      <c r="F7">
        <v>0</v>
      </c>
      <c r="G7" s="12">
        <v>0.60599999999999998</v>
      </c>
    </row>
    <row r="8" spans="1:7" x14ac:dyDescent="0.2">
      <c r="A8" s="3" t="s">
        <v>2</v>
      </c>
      <c r="B8" s="6">
        <v>1.73</v>
      </c>
      <c r="E8" t="s">
        <v>11</v>
      </c>
      <c r="F8">
        <v>-0.13679890560874736</v>
      </c>
      <c r="G8" s="12">
        <v>0.16300000000000001</v>
      </c>
    </row>
    <row r="9" spans="1:7" x14ac:dyDescent="0.2">
      <c r="E9" t="s">
        <v>12</v>
      </c>
      <c r="F9">
        <v>-0.28653295128939826</v>
      </c>
      <c r="G9" s="12">
        <v>1.02</v>
      </c>
    </row>
    <row r="10" spans="1:7" x14ac:dyDescent="0.2">
      <c r="E10" t="s">
        <v>13</v>
      </c>
      <c r="F10">
        <v>-2.083333333333333</v>
      </c>
      <c r="G10" s="12">
        <v>0.35</v>
      </c>
    </row>
    <row r="11" spans="1:7" x14ac:dyDescent="0.2">
      <c r="A11" s="5" t="s">
        <v>1</v>
      </c>
      <c r="B11">
        <f>AVERAGE(F3:F14)</f>
        <v>-0.12738732129530492</v>
      </c>
      <c r="E11" t="s">
        <v>14</v>
      </c>
      <c r="F11">
        <v>-2.6798307475317427</v>
      </c>
      <c r="G11" s="12">
        <v>0.16200000000000001</v>
      </c>
    </row>
    <row r="12" spans="1:7" x14ac:dyDescent="0.2">
      <c r="A12" t="s">
        <v>18</v>
      </c>
      <c r="B12">
        <f>_xlfn.STDEV.S(F3:F14)</f>
        <v>1.2772493202510213</v>
      </c>
      <c r="E12" t="s">
        <v>15</v>
      </c>
      <c r="F12">
        <v>1.1904761904761905</v>
      </c>
      <c r="G12" s="12">
        <v>0.61899999999999999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2">
        <v>0.31</v>
      </c>
    </row>
    <row r="14" spans="1:7" x14ac:dyDescent="0.2">
      <c r="A14" t="s">
        <v>21</v>
      </c>
      <c r="B14">
        <f>B12/SQRT(B13)</f>
        <v>0.36871011943459686</v>
      </c>
      <c r="E14" t="s">
        <v>17</v>
      </c>
      <c r="F14">
        <v>0</v>
      </c>
      <c r="G14" s="12">
        <v>0.16</v>
      </c>
    </row>
    <row r="15" spans="1:7" x14ac:dyDescent="0.2">
      <c r="A15" t="s">
        <v>23</v>
      </c>
      <c r="B15">
        <f>AVERAGE(G3:G14)</f>
        <v>0.50941666666666652</v>
      </c>
    </row>
    <row r="16" spans="1:7" x14ac:dyDescent="0.2">
      <c r="A16" s="4" t="s">
        <v>24</v>
      </c>
      <c r="B16" s="6">
        <f>SQRT(B15^2+B14^2)</f>
        <v>0.62885013512859511</v>
      </c>
    </row>
    <row r="18" spans="1:2" x14ac:dyDescent="0.2">
      <c r="A18" s="1" t="s">
        <v>31</v>
      </c>
      <c r="B18" s="17">
        <f>SQRT(B8^2+B16^2)</f>
        <v>1.8407478079441661</v>
      </c>
    </row>
    <row r="19" spans="1:2" x14ac:dyDescent="0.2">
      <c r="A19" t="s">
        <v>25</v>
      </c>
      <c r="B19">
        <f>2*B18</f>
        <v>3.6814956158883323</v>
      </c>
    </row>
    <row r="21" spans="1:2" x14ac:dyDescent="0.2">
      <c r="A21" t="s">
        <v>48</v>
      </c>
      <c r="B21">
        <f>(2*B8)+ABS(B11)</f>
        <v>3.5873873212953047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E4BB-1EB1-A446-8F92-0B5BA99D0462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0.81081081081080553</v>
      </c>
      <c r="G3" s="13">
        <v>2.4E-2</v>
      </c>
    </row>
    <row r="4" spans="1:7" x14ac:dyDescent="0.2">
      <c r="B4" s="2" t="s">
        <v>0</v>
      </c>
      <c r="E4" t="s">
        <v>7</v>
      </c>
      <c r="F4">
        <v>0</v>
      </c>
      <c r="G4" s="13">
        <v>0.02</v>
      </c>
    </row>
    <row r="5" spans="1:7" x14ac:dyDescent="0.2">
      <c r="A5" t="s">
        <v>3</v>
      </c>
      <c r="E5" t="s">
        <v>8</v>
      </c>
      <c r="F5">
        <v>0.84951456310679951</v>
      </c>
      <c r="G5" s="13">
        <v>1.4999999999999999E-2</v>
      </c>
    </row>
    <row r="6" spans="1:7" x14ac:dyDescent="0.2">
      <c r="A6" t="s">
        <v>4</v>
      </c>
      <c r="E6" t="s">
        <v>9</v>
      </c>
      <c r="F6">
        <v>-0.4054054054054087</v>
      </c>
      <c r="G6" s="13">
        <v>2.5999999999999999E-2</v>
      </c>
    </row>
    <row r="7" spans="1:7" x14ac:dyDescent="0.2">
      <c r="A7" t="s">
        <v>5</v>
      </c>
      <c r="E7" t="s">
        <v>10</v>
      </c>
      <c r="F7">
        <v>-1.1111111111111027</v>
      </c>
      <c r="G7" s="13">
        <v>0.02</v>
      </c>
    </row>
    <row r="8" spans="1:7" x14ac:dyDescent="0.2">
      <c r="A8" s="3" t="s">
        <v>2</v>
      </c>
      <c r="B8" s="6">
        <v>1.27</v>
      </c>
      <c r="E8" t="s">
        <v>11</v>
      </c>
      <c r="F8">
        <v>-0.16891891891891533</v>
      </c>
      <c r="G8" s="13">
        <v>1.0999999999999999E-2</v>
      </c>
    </row>
    <row r="9" spans="1:7" x14ac:dyDescent="0.2">
      <c r="E9" t="s">
        <v>12</v>
      </c>
      <c r="F9">
        <v>-2.4999999999999973</v>
      </c>
      <c r="G9" s="13">
        <v>2.5999999999999999E-2</v>
      </c>
    </row>
    <row r="10" spans="1:7" x14ac:dyDescent="0.2">
      <c r="E10" t="s">
        <v>13</v>
      </c>
      <c r="F10">
        <v>0.49689440993787753</v>
      </c>
      <c r="G10" s="13">
        <v>1.4999999999999999E-2</v>
      </c>
    </row>
    <row r="11" spans="1:7" x14ac:dyDescent="0.2">
      <c r="A11" s="5" t="s">
        <v>1</v>
      </c>
      <c r="B11">
        <f>AVERAGE(F3:F14)</f>
        <v>-0.28653666477064299</v>
      </c>
      <c r="E11" t="s">
        <v>14</v>
      </c>
      <c r="F11">
        <v>-3.7225042301184388</v>
      </c>
      <c r="G11" s="13">
        <v>1.0999999999999999E-2</v>
      </c>
    </row>
    <row r="12" spans="1:7" x14ac:dyDescent="0.2">
      <c r="A12" t="s">
        <v>18</v>
      </c>
      <c r="B12">
        <f>_xlfn.STDEV.S(F3:F14)</f>
        <v>1.5330563724739881</v>
      </c>
      <c r="E12" t="s">
        <v>15</v>
      </c>
      <c r="F12">
        <v>1.1607142857142927</v>
      </c>
      <c r="G12" s="13">
        <v>0.02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1.4888337468982533</v>
      </c>
      <c r="G13" s="13">
        <v>1.4E-2</v>
      </c>
    </row>
    <row r="14" spans="1:7" x14ac:dyDescent="0.2">
      <c r="A14" t="s">
        <v>21</v>
      </c>
      <c r="B14">
        <f>B12/SQRT(B13)</f>
        <v>0.44255525466536411</v>
      </c>
      <c r="E14" t="s">
        <v>17</v>
      </c>
      <c r="F14">
        <v>-0.33726812816188151</v>
      </c>
      <c r="G14" s="13">
        <v>0.01</v>
      </c>
    </row>
    <row r="15" spans="1:7" x14ac:dyDescent="0.2">
      <c r="A15" t="s">
        <v>23</v>
      </c>
      <c r="B15">
        <f>AVERAGE(G3:G14)</f>
        <v>1.7666666666666667E-2</v>
      </c>
    </row>
    <row r="16" spans="1:7" x14ac:dyDescent="0.2">
      <c r="A16" s="4" t="s">
        <v>24</v>
      </c>
      <c r="B16" s="6">
        <f>SQRT(B15^2+B14^2)</f>
        <v>0.44290773818374002</v>
      </c>
    </row>
    <row r="18" spans="1:2" x14ac:dyDescent="0.2">
      <c r="A18" s="1" t="s">
        <v>31</v>
      </c>
      <c r="B18" s="17">
        <f>SQRT(B8^2+B16^2)</f>
        <v>1.345015711634268</v>
      </c>
    </row>
    <row r="19" spans="1:2" x14ac:dyDescent="0.2">
      <c r="A19" t="s">
        <v>25</v>
      </c>
      <c r="B19">
        <f>2*B18</f>
        <v>2.6900314232685361</v>
      </c>
    </row>
    <row r="21" spans="1:2" x14ac:dyDescent="0.2">
      <c r="A21" t="s">
        <v>48</v>
      </c>
      <c r="B21">
        <f>(2*B8)+ABS(B11)</f>
        <v>2.8265366647706429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B0BF-1F6F-A040-8592-1AB87328094D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-1.2557077625570712</v>
      </c>
      <c r="G3" s="13">
        <v>1.9E-2</v>
      </c>
    </row>
    <row r="4" spans="1:7" x14ac:dyDescent="0.2">
      <c r="B4" s="2" t="s">
        <v>0</v>
      </c>
      <c r="E4" t="s">
        <v>7</v>
      </c>
      <c r="F4">
        <v>-4.8361934477379176</v>
      </c>
      <c r="G4" s="13">
        <v>1.4999999999999999E-2</v>
      </c>
    </row>
    <row r="5" spans="1:7" x14ac:dyDescent="0.2">
      <c r="A5" t="s">
        <v>3</v>
      </c>
      <c r="E5" t="s">
        <v>8</v>
      </c>
      <c r="F5">
        <v>0</v>
      </c>
      <c r="G5" s="13">
        <v>0.01</v>
      </c>
    </row>
    <row r="6" spans="1:7" x14ac:dyDescent="0.2">
      <c r="A6" t="s">
        <v>4</v>
      </c>
      <c r="E6" t="s">
        <v>9</v>
      </c>
      <c r="F6">
        <v>1.5981735159817416</v>
      </c>
      <c r="G6" s="13">
        <v>1.9E-2</v>
      </c>
    </row>
    <row r="7" spans="1:7" x14ac:dyDescent="0.2">
      <c r="A7" t="s">
        <v>5</v>
      </c>
      <c r="E7" t="s">
        <v>10</v>
      </c>
      <c r="F7">
        <v>-0.31152647975077219</v>
      </c>
      <c r="G7" s="13">
        <v>1.2999999999999999E-2</v>
      </c>
    </row>
    <row r="8" spans="1:7" x14ac:dyDescent="0.2">
      <c r="A8" s="3" t="s">
        <v>2</v>
      </c>
      <c r="B8" s="6">
        <v>2.7</v>
      </c>
      <c r="E8" t="s">
        <v>11</v>
      </c>
      <c r="F8">
        <v>5.6872037914691997</v>
      </c>
      <c r="G8" s="13">
        <v>7.0000000000000001E-3</v>
      </c>
    </row>
    <row r="9" spans="1:7" x14ac:dyDescent="0.2">
      <c r="E9" t="s">
        <v>12</v>
      </c>
      <c r="F9">
        <v>-1.3681592039800925</v>
      </c>
      <c r="G9" s="13">
        <v>2.1000000000000001E-2</v>
      </c>
    </row>
    <row r="10" spans="1:7" x14ac:dyDescent="0.2">
      <c r="E10" t="s">
        <v>13</v>
      </c>
      <c r="F10">
        <v>-0.27932960893855391</v>
      </c>
      <c r="G10" s="13">
        <v>0.01</v>
      </c>
    </row>
    <row r="11" spans="1:7" x14ac:dyDescent="0.2">
      <c r="A11" s="5" t="s">
        <v>1</v>
      </c>
      <c r="B11">
        <f>AVERAGE(F3:F14)</f>
        <v>-0.88778745462922981</v>
      </c>
      <c r="E11" t="s">
        <v>14</v>
      </c>
      <c r="F11">
        <v>-14.141414141414144</v>
      </c>
      <c r="G11" s="13">
        <v>8.0000000000000002E-3</v>
      </c>
    </row>
    <row r="12" spans="1:7" x14ac:dyDescent="0.2">
      <c r="A12" t="s">
        <v>18</v>
      </c>
      <c r="B12">
        <f>_xlfn.STDEV.S(F3:F14)</f>
        <v>5.0236871189289234</v>
      </c>
      <c r="E12" t="s">
        <v>15</v>
      </c>
      <c r="F12">
        <v>4.8657718120805376</v>
      </c>
      <c r="G12" s="13">
        <v>1.4999999999999999E-2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-1.1173184357541908</v>
      </c>
      <c r="G13" s="13">
        <v>0.01</v>
      </c>
    </row>
    <row r="14" spans="1:7" x14ac:dyDescent="0.2">
      <c r="A14" t="s">
        <v>21</v>
      </c>
      <c r="B14">
        <f>B12/SQRT(B13)</f>
        <v>1.4502135552190347</v>
      </c>
      <c r="E14" t="s">
        <v>17</v>
      </c>
      <c r="F14">
        <v>0.50505050505050553</v>
      </c>
      <c r="G14" s="13">
        <v>7.0000000000000001E-3</v>
      </c>
    </row>
    <row r="15" spans="1:7" x14ac:dyDescent="0.2">
      <c r="A15" t="s">
        <v>23</v>
      </c>
      <c r="B15">
        <f>AVERAGE(G3:G14)</f>
        <v>1.2833333333333335E-2</v>
      </c>
    </row>
    <row r="16" spans="1:7" x14ac:dyDescent="0.2">
      <c r="A16" s="4" t="s">
        <v>24</v>
      </c>
      <c r="B16" s="6">
        <f>SQRT(B15^2+B14^2)</f>
        <v>1.4502703369322136</v>
      </c>
    </row>
    <row r="18" spans="1:2" x14ac:dyDescent="0.2">
      <c r="A18" s="1" t="s">
        <v>31</v>
      </c>
      <c r="B18" s="17">
        <f>SQRT(B8^2+B16^2)</f>
        <v>3.0648464970020077</v>
      </c>
    </row>
    <row r="19" spans="1:2" x14ac:dyDescent="0.2">
      <c r="A19" t="s">
        <v>25</v>
      </c>
      <c r="B19">
        <f>2*B18</f>
        <v>6.1296929940040155</v>
      </c>
    </row>
    <row r="21" spans="1:2" x14ac:dyDescent="0.2">
      <c r="A21" t="s">
        <v>48</v>
      </c>
      <c r="B21">
        <f>(2*B8)+ABS(B11)</f>
        <v>6.2877874546292301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4947-35AC-3440-A426-516F0E364DE0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-0.10869565217391072</v>
      </c>
      <c r="G3" s="13">
        <v>1.4999999999999999E-2</v>
      </c>
    </row>
    <row r="4" spans="1:7" x14ac:dyDescent="0.2">
      <c r="B4" s="2" t="s">
        <v>0</v>
      </c>
      <c r="E4" t="s">
        <v>7</v>
      </c>
      <c r="F4">
        <v>-3.2122905027933015</v>
      </c>
      <c r="G4" s="13">
        <v>1.2E-2</v>
      </c>
    </row>
    <row r="5" spans="1:7" x14ac:dyDescent="0.2">
      <c r="A5" t="s">
        <v>3</v>
      </c>
      <c r="E5" t="s">
        <v>8</v>
      </c>
      <c r="F5">
        <v>0.82304526748971252</v>
      </c>
      <c r="G5" s="13">
        <v>8.0000000000000002E-3</v>
      </c>
    </row>
    <row r="6" spans="1:7" x14ac:dyDescent="0.2">
      <c r="A6" t="s">
        <v>4</v>
      </c>
      <c r="E6" t="s">
        <v>9</v>
      </c>
      <c r="F6">
        <v>-0.21739130434782145</v>
      </c>
      <c r="G6" s="13">
        <v>1.4E-2</v>
      </c>
    </row>
    <row r="7" spans="1:7" x14ac:dyDescent="0.2">
      <c r="A7" t="s">
        <v>5</v>
      </c>
      <c r="E7" t="s">
        <v>10</v>
      </c>
      <c r="F7">
        <v>-2.0979020979021028</v>
      </c>
      <c r="G7" s="13">
        <v>1.0999999999999999E-2</v>
      </c>
    </row>
    <row r="8" spans="1:7" x14ac:dyDescent="0.2">
      <c r="A8" s="3" t="s">
        <v>2</v>
      </c>
      <c r="B8" s="6">
        <v>1.66</v>
      </c>
      <c r="E8" t="s">
        <v>11</v>
      </c>
      <c r="F8">
        <v>-3.6363636363636265</v>
      </c>
      <c r="G8" s="13">
        <v>6.0000000000000001E-3</v>
      </c>
    </row>
    <row r="9" spans="1:7" x14ac:dyDescent="0.2">
      <c r="E9" t="s">
        <v>12</v>
      </c>
      <c r="F9">
        <v>-2.6258205689277925</v>
      </c>
      <c r="G9" s="13">
        <v>1.7999999999999999E-2</v>
      </c>
    </row>
    <row r="10" spans="1:7" x14ac:dyDescent="0.2">
      <c r="E10" t="s">
        <v>13</v>
      </c>
      <c r="F10">
        <v>-0.61224489795918868</v>
      </c>
      <c r="G10" s="13">
        <v>0.01</v>
      </c>
    </row>
    <row r="11" spans="1:7" x14ac:dyDescent="0.2">
      <c r="A11" s="5" t="s">
        <v>1</v>
      </c>
      <c r="B11">
        <f>AVERAGE(F3:F14)</f>
        <v>-0.76563057571067406</v>
      </c>
      <c r="E11" t="s">
        <v>14</v>
      </c>
      <c r="F11">
        <v>-3.2835820895522354</v>
      </c>
      <c r="G11" s="13">
        <v>6.0000000000000001E-3</v>
      </c>
    </row>
    <row r="12" spans="1:7" x14ac:dyDescent="0.2">
      <c r="A12" t="s">
        <v>18</v>
      </c>
      <c r="B12">
        <f>_xlfn.STDEV.S(F3:F14)</f>
        <v>2.4178467663169614</v>
      </c>
      <c r="E12" t="s">
        <v>15</v>
      </c>
      <c r="F12">
        <v>2.932960893854748</v>
      </c>
      <c r="G12" s="13">
        <v>1.2E-2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-1.0183299389002001</v>
      </c>
      <c r="G13" s="13">
        <v>8.0000000000000002E-3</v>
      </c>
    </row>
    <row r="14" spans="1:7" x14ac:dyDescent="0.2">
      <c r="A14" t="s">
        <v>21</v>
      </c>
      <c r="B14">
        <f>B12/SQRT(B13)</f>
        <v>0.69797224069618191</v>
      </c>
      <c r="E14" t="s">
        <v>17</v>
      </c>
      <c r="F14">
        <v>3.8690476190476288</v>
      </c>
      <c r="G14" s="13">
        <v>6.0000000000000001E-3</v>
      </c>
    </row>
    <row r="15" spans="1:7" x14ac:dyDescent="0.2">
      <c r="A15" t="s">
        <v>23</v>
      </c>
      <c r="B15">
        <f>AVERAGE(G3:G14)</f>
        <v>1.0500000000000001E-2</v>
      </c>
    </row>
    <row r="16" spans="1:7" x14ac:dyDescent="0.2">
      <c r="A16" s="4" t="s">
        <v>24</v>
      </c>
      <c r="B16" s="6">
        <f>SQRT(B15^2+B14^2)</f>
        <v>0.69805121501394785</v>
      </c>
    </row>
    <row r="18" spans="1:2" x14ac:dyDescent="0.2">
      <c r="A18" s="1" t="s">
        <v>49</v>
      </c>
      <c r="B18" s="17">
        <f>SQRT(B8^2+B16^2)</f>
        <v>1.8007985725178841</v>
      </c>
    </row>
    <row r="19" spans="1:2" x14ac:dyDescent="0.2">
      <c r="A19" t="s">
        <v>25</v>
      </c>
      <c r="B19">
        <f>2*B18</f>
        <v>3.6015971450357682</v>
      </c>
    </row>
    <row r="21" spans="1:2" x14ac:dyDescent="0.2">
      <c r="A21" t="s">
        <v>48</v>
      </c>
      <c r="B21">
        <f>(2*B8)+ABS(B11)</f>
        <v>4.0856305757106739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640A-6AEE-DD4D-A5B7-0B0F22597E61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-0.50125313283208062</v>
      </c>
      <c r="G3" s="13">
        <v>1.0999999999999999E-2</v>
      </c>
    </row>
    <row r="4" spans="1:7" x14ac:dyDescent="0.2">
      <c r="B4" s="2" t="s">
        <v>0</v>
      </c>
      <c r="E4" t="s">
        <v>7</v>
      </c>
      <c r="F4">
        <v>-0.67796610169491589</v>
      </c>
      <c r="G4" s="13">
        <v>8.0000000000000002E-3</v>
      </c>
    </row>
    <row r="5" spans="1:7" x14ac:dyDescent="0.2">
      <c r="A5" t="s">
        <v>3</v>
      </c>
      <c r="E5" t="s">
        <v>8</v>
      </c>
      <c r="F5">
        <v>0</v>
      </c>
      <c r="G5" s="13">
        <v>5.0000000000000001E-3</v>
      </c>
    </row>
    <row r="6" spans="1:7" x14ac:dyDescent="0.2">
      <c r="A6" t="s">
        <v>4</v>
      </c>
      <c r="E6" t="s">
        <v>9</v>
      </c>
      <c r="F6">
        <v>-1.0025062656641612</v>
      </c>
      <c r="G6" s="13">
        <v>1.0999999999999999E-2</v>
      </c>
    </row>
    <row r="7" spans="1:7" x14ac:dyDescent="0.2">
      <c r="A7" t="s">
        <v>5</v>
      </c>
      <c r="E7" t="s">
        <v>10</v>
      </c>
      <c r="F7">
        <v>-1.3559322033898318</v>
      </c>
      <c r="G7" s="13">
        <v>8.0000000000000002E-3</v>
      </c>
    </row>
    <row r="8" spans="1:7" x14ac:dyDescent="0.2">
      <c r="A8" s="3" t="s">
        <v>2</v>
      </c>
      <c r="B8" s="6">
        <v>2.25</v>
      </c>
      <c r="E8" t="s">
        <v>11</v>
      </c>
      <c r="F8">
        <v>2.9702970297029729</v>
      </c>
      <c r="G8" s="13">
        <v>3.0000000000000001E-3</v>
      </c>
    </row>
    <row r="9" spans="1:7" x14ac:dyDescent="0.2">
      <c r="E9" t="s">
        <v>12</v>
      </c>
      <c r="F9">
        <v>-3.3766233766233738</v>
      </c>
      <c r="G9" s="13">
        <v>1.0999999999999999E-2</v>
      </c>
    </row>
    <row r="10" spans="1:7" x14ac:dyDescent="0.2">
      <c r="E10" t="s">
        <v>13</v>
      </c>
      <c r="F10">
        <v>-1.1695906432748548</v>
      </c>
      <c r="G10" s="13">
        <v>5.0000000000000001E-3</v>
      </c>
    </row>
    <row r="11" spans="1:7" x14ac:dyDescent="0.2">
      <c r="A11" s="5" t="s">
        <v>1</v>
      </c>
      <c r="B11">
        <f>AVERAGE(F3:F14)</f>
        <v>-0.87179992298588849</v>
      </c>
      <c r="E11" t="s">
        <v>14</v>
      </c>
      <c r="F11">
        <v>-5.6603773584905603</v>
      </c>
      <c r="G11" s="13">
        <v>4.0000000000000001E-3</v>
      </c>
    </row>
    <row r="12" spans="1:7" x14ac:dyDescent="0.2">
      <c r="A12" t="s">
        <v>18</v>
      </c>
      <c r="B12">
        <f>_xlfn.STDEV.S(F3:F14)</f>
        <v>2.3235262077514975</v>
      </c>
      <c r="E12" t="s">
        <v>15</v>
      </c>
      <c r="F12">
        <v>1.7605633802816996</v>
      </c>
      <c r="G12" s="13">
        <v>8.0000000000000002E-3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1.1695906432748548</v>
      </c>
      <c r="G13" s="13">
        <v>5.0000000000000001E-3</v>
      </c>
    </row>
    <row r="14" spans="1:7" x14ac:dyDescent="0.2">
      <c r="A14" t="s">
        <v>21</v>
      </c>
      <c r="B14">
        <f>B12/SQRT(B13)</f>
        <v>0.67074424075723871</v>
      </c>
      <c r="E14" t="s">
        <v>17</v>
      </c>
      <c r="F14">
        <v>-2.6178010471204098</v>
      </c>
      <c r="G14" s="13">
        <v>4.0000000000000001E-3</v>
      </c>
    </row>
    <row r="15" spans="1:7" x14ac:dyDescent="0.2">
      <c r="A15" t="s">
        <v>23</v>
      </c>
      <c r="B15">
        <f>AVERAGE(G3:G14)</f>
        <v>6.9166666666666682E-3</v>
      </c>
    </row>
    <row r="16" spans="1:7" x14ac:dyDescent="0.2">
      <c r="A16" s="4" t="s">
        <v>24</v>
      </c>
      <c r="B16" s="6">
        <f>SQRT(B15^2+B14^2)</f>
        <v>0.67077990189538506</v>
      </c>
    </row>
    <row r="18" spans="1:2" x14ac:dyDescent="0.2">
      <c r="A18" s="1" t="s">
        <v>49</v>
      </c>
      <c r="B18" s="17">
        <f>SQRT(B8^2+B16^2)</f>
        <v>2.3478598077369917</v>
      </c>
    </row>
    <row r="19" spans="1:2" x14ac:dyDescent="0.2">
      <c r="A19" t="s">
        <v>25</v>
      </c>
      <c r="B19">
        <f>2*B18</f>
        <v>4.6957196154739833</v>
      </c>
    </row>
    <row r="21" spans="1:2" x14ac:dyDescent="0.2">
      <c r="A21" t="s">
        <v>48</v>
      </c>
      <c r="B21">
        <f>(2*B8)+ABS(B11)</f>
        <v>5.3717999229858888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1DAF-44E8-614A-ACC5-531E96080820}">
  <sheetPr>
    <tabColor rgb="FFFFC000"/>
  </sheetPr>
  <dimension ref="A2:G21"/>
  <sheetViews>
    <sheetView workbookViewId="0">
      <selection activeCell="B8" sqref="B8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2.3281596452328159</v>
      </c>
      <c r="G3" s="13">
        <v>5.0199999999999996</v>
      </c>
    </row>
    <row r="4" spans="1:7" x14ac:dyDescent="0.2">
      <c r="B4" s="2" t="s">
        <v>0</v>
      </c>
      <c r="E4" t="s">
        <v>7</v>
      </c>
      <c r="F4">
        <v>0.4815409309791332</v>
      </c>
      <c r="G4" s="13">
        <v>3.5</v>
      </c>
    </row>
    <row r="5" spans="1:7" x14ac:dyDescent="0.2">
      <c r="A5" t="s">
        <v>3</v>
      </c>
      <c r="E5" t="s">
        <v>8</v>
      </c>
      <c r="F5">
        <v>0.66006600660066006</v>
      </c>
      <c r="G5" s="13">
        <v>1.54</v>
      </c>
    </row>
    <row r="6" spans="1:7" x14ac:dyDescent="0.2">
      <c r="A6" t="s">
        <v>4</v>
      </c>
      <c r="E6" t="s">
        <v>9</v>
      </c>
      <c r="F6">
        <v>3.6625971143174252</v>
      </c>
      <c r="G6" s="13">
        <v>4.4400000000000004</v>
      </c>
    </row>
    <row r="7" spans="1:7" x14ac:dyDescent="0.2">
      <c r="A7" t="s">
        <v>5</v>
      </c>
      <c r="E7" t="s">
        <v>10</v>
      </c>
      <c r="F7">
        <v>-0.64102564102564097</v>
      </c>
      <c r="G7" s="13">
        <v>3.14</v>
      </c>
    </row>
    <row r="8" spans="1:7" x14ac:dyDescent="0.2">
      <c r="A8" s="3" t="s">
        <v>2</v>
      </c>
      <c r="B8" s="6">
        <v>2.2799999999999998</v>
      </c>
      <c r="E8" t="s">
        <v>11</v>
      </c>
      <c r="F8">
        <v>0</v>
      </c>
      <c r="G8" s="13">
        <v>0.36399999999999999</v>
      </c>
    </row>
    <row r="9" spans="1:7" x14ac:dyDescent="0.2">
      <c r="E9" t="s">
        <v>12</v>
      </c>
      <c r="F9">
        <v>-1.8411967779056386</v>
      </c>
      <c r="G9" s="13">
        <v>4.8899999999999997</v>
      </c>
    </row>
    <row r="10" spans="1:7" x14ac:dyDescent="0.2">
      <c r="E10" t="s">
        <v>13</v>
      </c>
      <c r="F10">
        <v>-0.67114093959731547</v>
      </c>
      <c r="G10" s="13">
        <v>1.97</v>
      </c>
    </row>
    <row r="11" spans="1:7" x14ac:dyDescent="0.2">
      <c r="A11" s="5" t="s">
        <v>1</v>
      </c>
      <c r="B11">
        <f>AVERAGE(F3:F14)</f>
        <v>0.41113161630183909</v>
      </c>
      <c r="E11" t="s">
        <v>14</v>
      </c>
      <c r="F11">
        <v>-2.934537246049655</v>
      </c>
      <c r="G11" s="13">
        <v>0.51600000000000001</v>
      </c>
    </row>
    <row r="12" spans="1:7" x14ac:dyDescent="0.2">
      <c r="A12" t="s">
        <v>18</v>
      </c>
      <c r="B12">
        <f>_xlfn.STDEV.S(F3:F14)</f>
        <v>2.2377289978381154</v>
      </c>
      <c r="E12" t="s">
        <v>15</v>
      </c>
      <c r="F12">
        <v>-1.4876033057851239</v>
      </c>
      <c r="G12" s="13">
        <v>3.19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4.6979865771812079</v>
      </c>
      <c r="G13" s="13">
        <v>1.56</v>
      </c>
    </row>
    <row r="14" spans="1:7" x14ac:dyDescent="0.2">
      <c r="A14" t="s">
        <v>21</v>
      </c>
      <c r="B14">
        <f>B12/SQRT(B13)</f>
        <v>0.6459767196376337</v>
      </c>
      <c r="E14" t="s">
        <v>17</v>
      </c>
      <c r="F14">
        <v>0.67873303167420163</v>
      </c>
      <c r="G14" s="13">
        <v>0.40200000000000002</v>
      </c>
    </row>
    <row r="15" spans="1:7" x14ac:dyDescent="0.2">
      <c r="A15" t="s">
        <v>23</v>
      </c>
      <c r="B15">
        <f>AVERAGE(G3:G14)</f>
        <v>2.5443333333333338</v>
      </c>
    </row>
    <row r="16" spans="1:7" x14ac:dyDescent="0.2">
      <c r="A16" s="4" t="s">
        <v>24</v>
      </c>
      <c r="B16" s="6">
        <f>SQRT(B15^2+B14^2)</f>
        <v>2.6250558152970598</v>
      </c>
    </row>
    <row r="18" spans="1:2" x14ac:dyDescent="0.2">
      <c r="A18" s="1" t="s">
        <v>49</v>
      </c>
      <c r="B18" s="17">
        <f>SQRT(B8^2+B16^2)</f>
        <v>3.4769696624251569</v>
      </c>
    </row>
    <row r="19" spans="1:2" x14ac:dyDescent="0.2">
      <c r="A19" t="s">
        <v>25</v>
      </c>
      <c r="B19">
        <f>2*B18</f>
        <v>6.9539393248503139</v>
      </c>
    </row>
    <row r="21" spans="1:2" x14ac:dyDescent="0.2">
      <c r="A21" t="s">
        <v>48</v>
      </c>
      <c r="B21">
        <f>(2*B8)+ABS(B11)</f>
        <v>4.9711316163018386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8C74-BC50-DC4D-8E7E-15E26DAD0C24}">
  <sheetPr>
    <tabColor rgb="FFFFC000"/>
  </sheetPr>
  <dimension ref="A2:G21"/>
  <sheetViews>
    <sheetView workbookViewId="0">
      <selection activeCell="B19" sqref="B1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-0.96153846153846156</v>
      </c>
      <c r="G3" s="13">
        <v>0.55200000000000005</v>
      </c>
    </row>
    <row r="4" spans="1:7" x14ac:dyDescent="0.2">
      <c r="B4" s="2" t="s">
        <v>0</v>
      </c>
      <c r="E4" t="s">
        <v>7</v>
      </c>
      <c r="F4">
        <v>4.6931407942238339</v>
      </c>
      <c r="G4" s="13">
        <v>0.39</v>
      </c>
    </row>
    <row r="5" spans="1:7" x14ac:dyDescent="0.2">
      <c r="A5" t="s">
        <v>3</v>
      </c>
      <c r="E5" t="s">
        <v>8</v>
      </c>
      <c r="F5">
        <v>5.0847457627118651</v>
      </c>
      <c r="G5" s="13">
        <v>0.378</v>
      </c>
    </row>
    <row r="6" spans="1:7" x14ac:dyDescent="0.2">
      <c r="A6" t="s">
        <v>4</v>
      </c>
      <c r="E6" t="s">
        <v>9</v>
      </c>
      <c r="F6">
        <v>0</v>
      </c>
      <c r="G6" s="13">
        <v>0.53300000000000003</v>
      </c>
    </row>
    <row r="7" spans="1:7" x14ac:dyDescent="0.2">
      <c r="A7" t="s">
        <v>5</v>
      </c>
      <c r="E7" t="s">
        <v>10</v>
      </c>
      <c r="F7">
        <v>3.7394451145958914</v>
      </c>
      <c r="G7" s="13">
        <v>0.46200000000000002</v>
      </c>
    </row>
    <row r="8" spans="1:7" x14ac:dyDescent="0.2">
      <c r="A8" s="3" t="s">
        <v>2</v>
      </c>
      <c r="B8" s="6">
        <v>5.27</v>
      </c>
      <c r="E8" t="s">
        <v>11</v>
      </c>
      <c r="F8">
        <v>4.622871046228707</v>
      </c>
      <c r="G8" s="13">
        <v>0.32600000000000001</v>
      </c>
    </row>
    <row r="9" spans="1:7" x14ac:dyDescent="0.2">
      <c r="E9" t="s">
        <v>12</v>
      </c>
      <c r="F9">
        <v>-0.90909090909090906</v>
      </c>
      <c r="G9" s="13">
        <v>0.65300000000000002</v>
      </c>
    </row>
    <row r="10" spans="1:7" x14ac:dyDescent="0.2">
      <c r="E10" t="s">
        <v>13</v>
      </c>
      <c r="F10">
        <v>10.047846889952149</v>
      </c>
      <c r="G10" s="13">
        <v>0.442</v>
      </c>
    </row>
    <row r="11" spans="1:7" x14ac:dyDescent="0.2">
      <c r="A11" s="5" t="s">
        <v>1</v>
      </c>
      <c r="B11">
        <f>AVERAGE(F3:F14)</f>
        <v>2.7095060732134182</v>
      </c>
      <c r="E11" t="s">
        <v>14</v>
      </c>
      <c r="F11">
        <v>-7.5829383886255988</v>
      </c>
      <c r="G11" s="13">
        <v>0.32600000000000001</v>
      </c>
    </row>
    <row r="12" spans="1:7" x14ac:dyDescent="0.2">
      <c r="A12" t="s">
        <v>18</v>
      </c>
      <c r="B12">
        <f>_xlfn.STDEV.S(F3:F14)</f>
        <v>4.8168111217732568</v>
      </c>
      <c r="E12" t="s">
        <v>15</v>
      </c>
      <c r="F12">
        <v>7.4660633484162826</v>
      </c>
      <c r="G12" s="13">
        <v>0.46400000000000002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-0.32154340836013318</v>
      </c>
      <c r="G13" s="13">
        <v>0.35</v>
      </c>
    </row>
    <row r="14" spans="1:7" x14ac:dyDescent="0.2">
      <c r="A14" t="s">
        <v>21</v>
      </c>
      <c r="B14">
        <f>B12/SQRT(B13)</f>
        <v>1.3904935988956866</v>
      </c>
      <c r="E14" t="s">
        <v>17</v>
      </c>
      <c r="F14">
        <v>6.6350710900473855</v>
      </c>
      <c r="G14" s="13">
        <v>0.28199999999999997</v>
      </c>
    </row>
    <row r="15" spans="1:7" x14ac:dyDescent="0.2">
      <c r="A15" t="s">
        <v>23</v>
      </c>
      <c r="B15">
        <f>AVERAGE(G3:G14)</f>
        <v>0.42983333333333335</v>
      </c>
    </row>
    <row r="16" spans="1:7" x14ac:dyDescent="0.2">
      <c r="A16" s="4" t="s">
        <v>24</v>
      </c>
      <c r="B16" s="6">
        <f>SQRT(B15^2+B14^2)</f>
        <v>1.4554137360263999</v>
      </c>
    </row>
    <row r="18" spans="1:2" x14ac:dyDescent="0.2">
      <c r="A18" s="1" t="s">
        <v>49</v>
      </c>
      <c r="B18" s="17">
        <f>SQRT(B8^2+B16^2)</f>
        <v>5.4672780378369561</v>
      </c>
    </row>
    <row r="19" spans="1:2" x14ac:dyDescent="0.2">
      <c r="A19" t="s">
        <v>25</v>
      </c>
      <c r="B19">
        <f>2*B18</f>
        <v>10.934556075673912</v>
      </c>
    </row>
    <row r="21" spans="1:2" x14ac:dyDescent="0.2">
      <c r="A21" t="s">
        <v>48</v>
      </c>
      <c r="B21">
        <f>(2*B8)+ABS(B11)</f>
        <v>13.249506073213418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91AD-3DF8-2946-A002-CA7437654C87}">
  <sheetPr>
    <tabColor rgb="FFFFC000"/>
  </sheetPr>
  <dimension ref="A2:G21"/>
  <sheetViews>
    <sheetView workbookViewId="0">
      <selection activeCell="B18" sqref="B18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5.2083333333333339</v>
      </c>
      <c r="G3" s="11">
        <v>1.5</v>
      </c>
    </row>
    <row r="4" spans="1:7" x14ac:dyDescent="0.2">
      <c r="B4" s="2" t="s">
        <v>0</v>
      </c>
      <c r="E4" t="s">
        <v>7</v>
      </c>
      <c r="F4">
        <v>0</v>
      </c>
      <c r="G4" s="12">
        <v>1.18</v>
      </c>
    </row>
    <row r="5" spans="1:7" x14ac:dyDescent="0.2">
      <c r="A5" t="s">
        <v>3</v>
      </c>
      <c r="E5" t="s">
        <v>8</v>
      </c>
      <c r="F5">
        <v>0.52356020942408377</v>
      </c>
      <c r="G5" s="12">
        <v>0.78300000000000003</v>
      </c>
    </row>
    <row r="6" spans="1:7" x14ac:dyDescent="0.2">
      <c r="A6" t="s">
        <v>4</v>
      </c>
      <c r="E6" t="s">
        <v>9</v>
      </c>
      <c r="F6">
        <v>-1.3227513227513228</v>
      </c>
      <c r="G6" s="12">
        <v>1.52</v>
      </c>
    </row>
    <row r="7" spans="1:7" x14ac:dyDescent="0.2">
      <c r="A7" t="s">
        <v>5</v>
      </c>
      <c r="E7" t="s">
        <v>10</v>
      </c>
      <c r="F7">
        <v>-2.348993288590604</v>
      </c>
      <c r="G7" s="12">
        <v>1.06</v>
      </c>
    </row>
    <row r="8" spans="1:7" x14ac:dyDescent="0.2">
      <c r="A8" s="3" t="s">
        <v>2</v>
      </c>
      <c r="B8" s="6">
        <v>2.6</v>
      </c>
      <c r="E8" t="s">
        <v>11</v>
      </c>
      <c r="F8">
        <v>0</v>
      </c>
      <c r="G8" s="12">
        <v>0.46400000000000002</v>
      </c>
    </row>
    <row r="9" spans="1:7" x14ac:dyDescent="0.2">
      <c r="E9" t="s">
        <v>12</v>
      </c>
      <c r="F9">
        <v>-2.278481012658228</v>
      </c>
      <c r="G9" s="12">
        <v>1.94</v>
      </c>
    </row>
    <row r="10" spans="1:7" x14ac:dyDescent="0.2">
      <c r="E10" t="s">
        <v>13</v>
      </c>
      <c r="F10">
        <v>-1.4634146341463417</v>
      </c>
      <c r="G10" s="12">
        <v>0.83099999999999996</v>
      </c>
    </row>
    <row r="11" spans="1:7" x14ac:dyDescent="0.2">
      <c r="A11" s="5" t="s">
        <v>1</v>
      </c>
      <c r="B11">
        <f>AVERAGE(F3:F14)</f>
        <v>-0.65786699981305496</v>
      </c>
      <c r="E11" t="s">
        <v>14</v>
      </c>
      <c r="F11">
        <v>-2.3076923076923079</v>
      </c>
      <c r="G11" s="12">
        <v>0.54300000000000004</v>
      </c>
    </row>
    <row r="12" spans="1:7" x14ac:dyDescent="0.2">
      <c r="A12" t="s">
        <v>18</v>
      </c>
      <c r="B12">
        <f>_xlfn.STDEV.S(F3:F14)</f>
        <v>2.2081390399459728</v>
      </c>
      <c r="E12" t="s">
        <v>15</v>
      </c>
      <c r="F12">
        <v>-2.2292993630573248</v>
      </c>
      <c r="G12" s="12">
        <v>1.25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-2.4390243902439024</v>
      </c>
      <c r="G13" s="12">
        <v>0.71899999999999997</v>
      </c>
    </row>
    <row r="14" spans="1:7" x14ac:dyDescent="0.2">
      <c r="A14" t="s">
        <v>21</v>
      </c>
      <c r="B14">
        <f>B12/SQRT(B13)</f>
        <v>0.63743483456046468</v>
      </c>
      <c r="E14" t="s">
        <v>17</v>
      </c>
      <c r="F14">
        <v>0.76335877862595414</v>
      </c>
      <c r="G14" s="12">
        <v>0.47199999999999998</v>
      </c>
    </row>
    <row r="15" spans="1:7" x14ac:dyDescent="0.2">
      <c r="A15" t="s">
        <v>23</v>
      </c>
      <c r="B15">
        <f>AVERAGE(G3:G14)</f>
        <v>1.0218333333333331</v>
      </c>
    </row>
    <row r="16" spans="1:7" x14ac:dyDescent="0.2">
      <c r="A16" s="4" t="s">
        <v>24</v>
      </c>
      <c r="B16" s="6">
        <f>SQRT(B15^2+B14^2)</f>
        <v>1.2043531580986691</v>
      </c>
    </row>
    <row r="18" spans="1:2" x14ac:dyDescent="0.2">
      <c r="A18" s="1" t="s">
        <v>49</v>
      </c>
      <c r="B18" s="17">
        <f>SQRT(B8^2+B16^2)</f>
        <v>2.8653911651678969</v>
      </c>
    </row>
    <row r="19" spans="1:2" x14ac:dyDescent="0.2">
      <c r="A19" t="s">
        <v>25</v>
      </c>
      <c r="B19">
        <f>2*B18</f>
        <v>5.7307823303357939</v>
      </c>
    </row>
    <row r="21" spans="1:2" x14ac:dyDescent="0.2">
      <c r="A21" t="s">
        <v>48</v>
      </c>
      <c r="B21">
        <f>(2*B8)+ABS(B11)</f>
        <v>5.857866999813055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F616-4F6C-4C48-A77E-2005710F464D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-5.7906458797327396</v>
      </c>
      <c r="G3" s="11">
        <v>3.93</v>
      </c>
    </row>
    <row r="4" spans="1:7" x14ac:dyDescent="0.2">
      <c r="B4" s="2" t="s">
        <v>0</v>
      </c>
      <c r="E4" t="s">
        <v>7</v>
      </c>
      <c r="F4">
        <v>0.15384615384615385</v>
      </c>
      <c r="G4" s="12">
        <v>2.66</v>
      </c>
    </row>
    <row r="5" spans="1:7" x14ac:dyDescent="0.2">
      <c r="A5" t="s">
        <v>3</v>
      </c>
      <c r="E5" t="s">
        <v>8</v>
      </c>
      <c r="F5">
        <v>-0.27624309392265189</v>
      </c>
      <c r="G5" s="12">
        <v>1.63</v>
      </c>
    </row>
    <row r="6" spans="1:7" x14ac:dyDescent="0.2">
      <c r="A6" t="s">
        <v>4</v>
      </c>
      <c r="E6" t="s">
        <v>9</v>
      </c>
      <c r="F6">
        <v>2.3411371237458192</v>
      </c>
      <c r="G6" s="12">
        <v>3.33</v>
      </c>
    </row>
    <row r="7" spans="1:7" x14ac:dyDescent="0.2">
      <c r="A7" t="s">
        <v>5</v>
      </c>
      <c r="E7" t="s">
        <v>10</v>
      </c>
      <c r="F7">
        <v>0.15408320493066258</v>
      </c>
      <c r="G7" s="12">
        <v>2.6</v>
      </c>
    </row>
    <row r="8" spans="1:7" x14ac:dyDescent="0.2">
      <c r="A8" s="3" t="s">
        <v>2</v>
      </c>
      <c r="B8" s="6">
        <v>4.28</v>
      </c>
      <c r="E8" t="s">
        <v>11</v>
      </c>
      <c r="F8">
        <v>4.2424242424242431</v>
      </c>
      <c r="G8" s="12">
        <v>0.80100000000000005</v>
      </c>
    </row>
    <row r="9" spans="1:7" x14ac:dyDescent="0.2">
      <c r="E9" t="s">
        <v>12</v>
      </c>
      <c r="F9">
        <v>1.0526315789473684</v>
      </c>
      <c r="G9" s="12">
        <v>1.1499999999999999</v>
      </c>
    </row>
    <row r="10" spans="1:7" x14ac:dyDescent="0.2">
      <c r="E10" t="s">
        <v>13</v>
      </c>
      <c r="F10">
        <v>-1.3089005235602094</v>
      </c>
      <c r="G10" s="12">
        <v>3.34</v>
      </c>
    </row>
    <row r="11" spans="1:7" x14ac:dyDescent="0.2">
      <c r="A11" s="5" t="s">
        <v>1</v>
      </c>
      <c r="B11">
        <f>AVERAGE(F3:F14)</f>
        <v>0.44407459076313177</v>
      </c>
      <c r="E11" t="s">
        <v>14</v>
      </c>
      <c r="F11">
        <v>-3.9832285115303985</v>
      </c>
      <c r="G11" s="12">
        <v>4.13</v>
      </c>
    </row>
    <row r="12" spans="1:7" x14ac:dyDescent="0.2">
      <c r="A12" t="s">
        <v>18</v>
      </c>
      <c r="B12">
        <f>_xlfn.STDEV.S(F3:F14)</f>
        <v>3.0945947356739074</v>
      </c>
      <c r="E12" t="s">
        <v>15</v>
      </c>
      <c r="F12">
        <v>3.0769230769230771</v>
      </c>
      <c r="G12" s="12">
        <v>1.87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1.0498687664041995</v>
      </c>
      <c r="G13" s="12">
        <v>2.66</v>
      </c>
    </row>
    <row r="14" spans="1:7" x14ac:dyDescent="0.2">
      <c r="A14" t="s">
        <v>21</v>
      </c>
      <c r="B14">
        <f>B12/SQRT(B13)</f>
        <v>0.89333255183706461</v>
      </c>
      <c r="E14" t="s">
        <v>17</v>
      </c>
      <c r="F14">
        <v>4.6169989506820563</v>
      </c>
      <c r="G14" s="12">
        <v>3.38</v>
      </c>
    </row>
    <row r="15" spans="1:7" x14ac:dyDescent="0.2">
      <c r="A15" t="s">
        <v>23</v>
      </c>
      <c r="B15">
        <f>AVERAGE(G3:G14)</f>
        <v>2.6234166666666665</v>
      </c>
    </row>
    <row r="16" spans="1:7" x14ac:dyDescent="0.2">
      <c r="A16" s="4" t="s">
        <v>24</v>
      </c>
      <c r="B16" s="6">
        <f>SQRT(B15^2+B14^2)</f>
        <v>2.7713458923628003</v>
      </c>
    </row>
    <row r="18" spans="1:2" x14ac:dyDescent="0.2">
      <c r="A18" s="1" t="s">
        <v>49</v>
      </c>
      <c r="B18" s="17">
        <f>SQRT(B8^2+B16^2)</f>
        <v>5.0988977294231121</v>
      </c>
    </row>
    <row r="19" spans="1:2" x14ac:dyDescent="0.2">
      <c r="A19" t="s">
        <v>25</v>
      </c>
      <c r="B19">
        <f>2*B18</f>
        <v>10.197795458846224</v>
      </c>
    </row>
    <row r="21" spans="1:2" x14ac:dyDescent="0.2">
      <c r="A21" t="s">
        <v>48</v>
      </c>
      <c r="B21">
        <f>(2*B8)+ABS(B11)</f>
        <v>9.0040745907631319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47A-B214-5F4D-8773-13E6B19284C0}">
  <sheetPr>
    <tabColor rgb="FFFFC000"/>
  </sheetPr>
  <dimension ref="A2:G21"/>
  <sheetViews>
    <sheetView workbookViewId="0">
      <selection activeCell="C17" sqref="C17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-0.46948356807511737</v>
      </c>
      <c r="G3" s="11">
        <v>0.54500000000000004</v>
      </c>
    </row>
    <row r="4" spans="1:7" x14ac:dyDescent="0.2">
      <c r="B4" s="2" t="s">
        <v>0</v>
      </c>
      <c r="E4" t="s">
        <v>7</v>
      </c>
      <c r="F4">
        <v>-1.8518518518518516</v>
      </c>
      <c r="G4" s="12">
        <v>0.45100000000000001</v>
      </c>
    </row>
    <row r="5" spans="1:7" x14ac:dyDescent="0.2">
      <c r="E5" t="s">
        <v>8</v>
      </c>
      <c r="F5">
        <v>-0.94339622641509435</v>
      </c>
      <c r="G5" s="12">
        <v>0.33600000000000002</v>
      </c>
    </row>
    <row r="6" spans="1:7" x14ac:dyDescent="0.2">
      <c r="E6" t="s">
        <v>9</v>
      </c>
      <c r="F6">
        <v>0.93896713615023475</v>
      </c>
      <c r="G6" s="12">
        <v>0.57499999999999996</v>
      </c>
    </row>
    <row r="7" spans="1:7" x14ac:dyDescent="0.2">
      <c r="E7" t="s">
        <v>10</v>
      </c>
      <c r="F7">
        <v>0</v>
      </c>
      <c r="G7" s="12">
        <v>0.41699999999999998</v>
      </c>
    </row>
    <row r="8" spans="1:7" x14ac:dyDescent="0.2">
      <c r="A8" s="3" t="s">
        <v>2</v>
      </c>
      <c r="B8" s="6">
        <v>1.34</v>
      </c>
      <c r="E8" t="s">
        <v>11</v>
      </c>
      <c r="F8">
        <v>1.0101010101010142</v>
      </c>
      <c r="G8" s="12">
        <v>0.27600000000000002</v>
      </c>
    </row>
    <row r="9" spans="1:7" x14ac:dyDescent="0.2">
      <c r="E9" t="s">
        <v>12</v>
      </c>
      <c r="F9">
        <v>0.45454545454545453</v>
      </c>
      <c r="G9" s="12">
        <v>0.70599999999999996</v>
      </c>
    </row>
    <row r="10" spans="1:7" x14ac:dyDescent="0.2">
      <c r="E10" t="s">
        <v>13</v>
      </c>
      <c r="F10">
        <v>-1.8404907975460092</v>
      </c>
      <c r="G10" s="12">
        <v>0.33400000000000002</v>
      </c>
    </row>
    <row r="11" spans="1:7" x14ac:dyDescent="0.2">
      <c r="A11" s="5" t="s">
        <v>1</v>
      </c>
      <c r="B11">
        <f>AVERAGE(F3:F14)</f>
        <v>5.3669898523352653E-2</v>
      </c>
      <c r="E11" t="s">
        <v>14</v>
      </c>
      <c r="F11">
        <v>0.35842293906810546</v>
      </c>
      <c r="G11" s="12">
        <v>0.252</v>
      </c>
    </row>
    <row r="12" spans="1:7" x14ac:dyDescent="0.2">
      <c r="A12" t="s">
        <v>18</v>
      </c>
      <c r="B12">
        <f>_xlfn.STDEV.S(F3:F14)</f>
        <v>1.4881474950040186</v>
      </c>
      <c r="E12" t="s">
        <v>15</v>
      </c>
      <c r="F12">
        <v>3.7037037037037033</v>
      </c>
      <c r="G12" s="12">
        <v>0.48299999999999998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-0.71647901740020759</v>
      </c>
      <c r="G13" s="12">
        <v>0.32900000000000001</v>
      </c>
    </row>
    <row r="14" spans="1:7" x14ac:dyDescent="0.2">
      <c r="A14" t="s">
        <v>21</v>
      </c>
      <c r="B14">
        <f>B12/SQRT(B13)</f>
        <v>0.42959117841721872</v>
      </c>
      <c r="E14" t="s">
        <v>17</v>
      </c>
      <c r="F14">
        <v>0</v>
      </c>
      <c r="G14" s="12">
        <v>0.24299999999999999</v>
      </c>
    </row>
    <row r="15" spans="1:7" x14ac:dyDescent="0.2">
      <c r="A15" t="s">
        <v>23</v>
      </c>
      <c r="B15">
        <f>AVERAGE(G3:G14)</f>
        <v>0.41224999999999995</v>
      </c>
    </row>
    <row r="16" spans="1:7" x14ac:dyDescent="0.2">
      <c r="A16" s="4" t="s">
        <v>24</v>
      </c>
      <c r="B16" s="6">
        <f>SQRT(B15^2+B14^2)</f>
        <v>0.59539788635323065</v>
      </c>
    </row>
    <row r="18" spans="1:2" x14ac:dyDescent="0.2">
      <c r="A18" s="1" t="s">
        <v>49</v>
      </c>
      <c r="B18" s="17">
        <f>SQRT(B8^2+B16^2)</f>
        <v>1.4663214664847184</v>
      </c>
    </row>
    <row r="19" spans="1:2" x14ac:dyDescent="0.2">
      <c r="A19" t="s">
        <v>25</v>
      </c>
      <c r="B19">
        <f>2*B18</f>
        <v>2.9326429329694368</v>
      </c>
    </row>
    <row r="21" spans="1:2" x14ac:dyDescent="0.2">
      <c r="A21" t="s">
        <v>48</v>
      </c>
      <c r="B21">
        <f>(2*B8)+ABS(B11)</f>
        <v>2.733669898523353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626B-E783-654B-8957-35055A1E90C1}">
  <sheetPr>
    <tabColor rgb="FFFFC000"/>
  </sheetPr>
  <dimension ref="A2:G21"/>
  <sheetViews>
    <sheetView workbookViewId="0">
      <selection activeCell="B20" sqref="B20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3.6036036036036037</v>
      </c>
      <c r="G3" s="13">
        <v>0.92700000000000005</v>
      </c>
    </row>
    <row r="4" spans="1:7" x14ac:dyDescent="0.2">
      <c r="B4" s="2" t="s">
        <v>0</v>
      </c>
      <c r="E4" t="s">
        <v>7</v>
      </c>
      <c r="F4">
        <v>-2.1505376344086025</v>
      </c>
      <c r="G4" s="13">
        <v>0.83</v>
      </c>
    </row>
    <row r="5" spans="1:7" x14ac:dyDescent="0.2">
      <c r="A5" t="s">
        <v>3</v>
      </c>
      <c r="E5" t="s">
        <v>8</v>
      </c>
      <c r="F5">
        <v>-0.62893081761006298</v>
      </c>
      <c r="G5" s="13">
        <v>0.73499999999999999</v>
      </c>
    </row>
    <row r="6" spans="1:7" x14ac:dyDescent="0.2">
      <c r="A6" t="s">
        <v>4</v>
      </c>
      <c r="E6" t="s">
        <v>9</v>
      </c>
      <c r="F6">
        <v>0</v>
      </c>
      <c r="G6" s="13">
        <v>0.97</v>
      </c>
    </row>
    <row r="7" spans="1:7" x14ac:dyDescent="0.2">
      <c r="A7" t="s">
        <v>5</v>
      </c>
      <c r="E7" t="s">
        <v>10</v>
      </c>
      <c r="F7">
        <v>-3.763440860215054</v>
      </c>
      <c r="G7" s="13">
        <v>0.878</v>
      </c>
    </row>
    <row r="8" spans="1:7" x14ac:dyDescent="0.2">
      <c r="A8" s="3" t="s">
        <v>2</v>
      </c>
      <c r="B8" s="6">
        <v>5.25</v>
      </c>
      <c r="E8" t="s">
        <v>11</v>
      </c>
      <c r="F8">
        <v>0</v>
      </c>
      <c r="G8" s="13">
        <v>0.63600000000000001</v>
      </c>
    </row>
    <row r="9" spans="1:7" x14ac:dyDescent="0.2">
      <c r="E9" t="s">
        <v>12</v>
      </c>
      <c r="F9">
        <v>1.5706806282722512</v>
      </c>
      <c r="G9" s="13">
        <v>1.1100000000000001</v>
      </c>
    </row>
    <row r="10" spans="1:7" x14ac:dyDescent="0.2">
      <c r="E10" t="s">
        <v>13</v>
      </c>
      <c r="F10">
        <v>1.3698630136986301</v>
      </c>
      <c r="G10" s="13">
        <v>0.80600000000000005</v>
      </c>
    </row>
    <row r="11" spans="1:7" x14ac:dyDescent="0.2">
      <c r="A11" s="5" t="s">
        <v>1</v>
      </c>
      <c r="B11">
        <f>AVERAGE(F3:F14)</f>
        <v>2.5867159739893047E-2</v>
      </c>
      <c r="E11" t="s">
        <v>14</v>
      </c>
      <c r="F11">
        <v>-0.76923076923076927</v>
      </c>
      <c r="G11" s="13">
        <v>0.83</v>
      </c>
    </row>
    <row r="12" spans="1:7" x14ac:dyDescent="0.2">
      <c r="A12" t="s">
        <v>18</v>
      </c>
      <c r="B12">
        <f>_xlfn.STDEV.S(F3:F14)</f>
        <v>2.0138212749014035</v>
      </c>
      <c r="E12" t="s">
        <v>15</v>
      </c>
      <c r="F12">
        <v>-1.8181818181818181</v>
      </c>
      <c r="G12" s="13">
        <v>0.91300000000000003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1.3698630136986301</v>
      </c>
      <c r="G13" s="13">
        <v>0.78</v>
      </c>
    </row>
    <row r="14" spans="1:7" x14ac:dyDescent="0.2">
      <c r="A14" t="s">
        <v>21</v>
      </c>
      <c r="B14" s="6">
        <f>B12/SQRT(B13)</f>
        <v>0.58134012758206033</v>
      </c>
      <c r="E14" t="s">
        <v>17</v>
      </c>
      <c r="F14">
        <v>1.5267175572519083</v>
      </c>
      <c r="G14" s="13">
        <v>0.63500000000000001</v>
      </c>
    </row>
    <row r="15" spans="1:7" x14ac:dyDescent="0.2">
      <c r="A15" t="s">
        <v>23</v>
      </c>
      <c r="B15" s="6">
        <f>AVERAGE(G3:G14)</f>
        <v>0.83749999999999991</v>
      </c>
    </row>
    <row r="16" spans="1:7" x14ac:dyDescent="0.2">
      <c r="A16" s="4" t="s">
        <v>24</v>
      </c>
      <c r="B16" s="6">
        <f>SQRT(B15^2+B14^2)</f>
        <v>1.01949134078575</v>
      </c>
    </row>
    <row r="18" spans="1:2" x14ac:dyDescent="0.2">
      <c r="A18" s="16" t="s">
        <v>49</v>
      </c>
      <c r="B18" s="17">
        <f>SQRT(B8^2+B16^2)</f>
        <v>5.348070922672691</v>
      </c>
    </row>
    <row r="19" spans="1:2" x14ac:dyDescent="0.2">
      <c r="A19" t="s">
        <v>25</v>
      </c>
      <c r="B19">
        <f>2*B18</f>
        <v>10.696141845345382</v>
      </c>
    </row>
    <row r="21" spans="1:2" x14ac:dyDescent="0.2">
      <c r="A21" t="s">
        <v>48</v>
      </c>
      <c r="B21">
        <f>(2*B8)+ABS(B11)</f>
        <v>10.525867159739892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599D-D617-1248-951B-A1CB688F7E96}">
  <sheetPr>
    <tabColor rgb="FFFFC000"/>
  </sheetPr>
  <dimension ref="A2:G21"/>
  <sheetViews>
    <sheetView workbookViewId="0">
      <selection activeCell="C21" sqref="C21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-0.6211180124223602</v>
      </c>
      <c r="G3" s="13">
        <v>0.19700000000000001</v>
      </c>
    </row>
    <row r="4" spans="1:7" x14ac:dyDescent="0.2">
      <c r="B4" s="2" t="s">
        <v>0</v>
      </c>
      <c r="E4" t="s">
        <v>7</v>
      </c>
      <c r="F4">
        <v>-2.083333333333333</v>
      </c>
      <c r="G4" s="13">
        <v>0.153</v>
      </c>
    </row>
    <row r="5" spans="1:7" x14ac:dyDescent="0.2">
      <c r="A5" t="s">
        <v>3</v>
      </c>
      <c r="E5" t="s">
        <v>8</v>
      </c>
      <c r="F5">
        <v>-0.78740157480314954</v>
      </c>
      <c r="G5" s="13">
        <v>0.13700000000000001</v>
      </c>
    </row>
    <row r="6" spans="1:7" x14ac:dyDescent="0.2">
      <c r="A6" t="s">
        <v>4</v>
      </c>
      <c r="E6" t="s">
        <v>9</v>
      </c>
      <c r="F6">
        <v>0</v>
      </c>
      <c r="G6" s="13">
        <v>0.16500000000000001</v>
      </c>
    </row>
    <row r="7" spans="1:7" x14ac:dyDescent="0.2">
      <c r="A7" t="s">
        <v>5</v>
      </c>
      <c r="E7" t="s">
        <v>10</v>
      </c>
      <c r="F7">
        <v>0</v>
      </c>
      <c r="G7" s="13">
        <v>0.14599999999999999</v>
      </c>
    </row>
    <row r="8" spans="1:7" x14ac:dyDescent="0.2">
      <c r="A8" s="3" t="s">
        <v>2</v>
      </c>
      <c r="B8" s="6">
        <v>1.4</v>
      </c>
      <c r="E8" t="s">
        <v>11</v>
      </c>
      <c r="F8">
        <v>0</v>
      </c>
      <c r="G8" s="13">
        <v>0.125</v>
      </c>
    </row>
    <row r="9" spans="1:7" x14ac:dyDescent="0.2">
      <c r="E9" t="s">
        <v>12</v>
      </c>
      <c r="F9">
        <v>-1.9867549668874174</v>
      </c>
      <c r="G9" s="13">
        <v>0.18099999999999999</v>
      </c>
    </row>
    <row r="10" spans="1:7" x14ac:dyDescent="0.2">
      <c r="E10" t="s">
        <v>13</v>
      </c>
      <c r="F10">
        <v>-0.81967213114754101</v>
      </c>
      <c r="G10" s="13">
        <v>0.155</v>
      </c>
    </row>
    <row r="11" spans="1:7" x14ac:dyDescent="0.2">
      <c r="A11" s="5" t="s">
        <v>1</v>
      </c>
      <c r="B11">
        <f>AVERAGE(F3:F14)</f>
        <v>-0.73449344263394634</v>
      </c>
      <c r="E11" t="s">
        <v>14</v>
      </c>
      <c r="F11">
        <v>0</v>
      </c>
      <c r="G11" s="13">
        <v>0.14799999999999999</v>
      </c>
    </row>
    <row r="12" spans="1:7" x14ac:dyDescent="0.2">
      <c r="A12" t="s">
        <v>18</v>
      </c>
      <c r="B12">
        <f>_xlfn.STDEV.S(F3:F14)</f>
        <v>0.80976572611461872</v>
      </c>
      <c r="E12" t="s">
        <v>15</v>
      </c>
      <c r="F12">
        <v>-0.72992700729927007</v>
      </c>
      <c r="G12" s="13">
        <v>0.14000000000000001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3">
        <v>0.129</v>
      </c>
    </row>
    <row r="14" spans="1:7" x14ac:dyDescent="0.2">
      <c r="A14" t="s">
        <v>21</v>
      </c>
      <c r="B14">
        <f>B12/SQRT(B13)</f>
        <v>0.23375922997640397</v>
      </c>
      <c r="E14" t="s">
        <v>17</v>
      </c>
      <c r="F14">
        <v>-1.7857142857142856</v>
      </c>
      <c r="G14" s="13">
        <v>0.11600000000000001</v>
      </c>
    </row>
    <row r="15" spans="1:7" x14ac:dyDescent="0.2">
      <c r="A15" t="s">
        <v>23</v>
      </c>
      <c r="B15">
        <f>AVERAGE(G3:G14)</f>
        <v>0.14933333333333335</v>
      </c>
    </row>
    <row r="16" spans="1:7" x14ac:dyDescent="0.2">
      <c r="A16" s="4" t="s">
        <v>24</v>
      </c>
      <c r="B16" s="6">
        <f>SQRT(B15^2+B14^2)</f>
        <v>0.27738749438935739</v>
      </c>
    </row>
    <row r="18" spans="1:2" x14ac:dyDescent="0.2">
      <c r="A18" s="1" t="s">
        <v>49</v>
      </c>
      <c r="B18" s="17">
        <f>SQRT(B8^2+B16^2)</f>
        <v>1.4272154084242523</v>
      </c>
    </row>
    <row r="19" spans="1:2" x14ac:dyDescent="0.2">
      <c r="A19" t="s">
        <v>25</v>
      </c>
      <c r="B19">
        <f>2*B18</f>
        <v>2.8544308168485046</v>
      </c>
    </row>
    <row r="21" spans="1:2" x14ac:dyDescent="0.2">
      <c r="A21" t="s">
        <v>48</v>
      </c>
      <c r="B21">
        <f>(2*B8)+ABS(B11)</f>
        <v>3.5344934426339463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A79F-F145-7E49-BB22-89D20038E314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-0.16806722689075271</v>
      </c>
      <c r="G3" s="13">
        <v>7.0000000000000001E-3</v>
      </c>
    </row>
    <row r="4" spans="1:7" x14ac:dyDescent="0.2">
      <c r="B4" s="2" t="s">
        <v>0</v>
      </c>
      <c r="E4" t="s">
        <v>7</v>
      </c>
      <c r="F4">
        <v>-2.0044543429844066</v>
      </c>
      <c r="G4" s="13">
        <v>4.0000000000000001E-3</v>
      </c>
    </row>
    <row r="5" spans="1:7" x14ac:dyDescent="0.2">
      <c r="A5" t="s">
        <v>3</v>
      </c>
      <c r="E5" t="s">
        <v>8</v>
      </c>
      <c r="F5">
        <v>0.34602076124566733</v>
      </c>
      <c r="G5" s="13">
        <v>3.3000000000000002E-2</v>
      </c>
    </row>
    <row r="6" spans="1:7" x14ac:dyDescent="0.2">
      <c r="A6" t="s">
        <v>4</v>
      </c>
      <c r="E6" t="s">
        <v>9</v>
      </c>
      <c r="F6">
        <v>0.50420168067227311</v>
      </c>
      <c r="G6" s="13">
        <v>7.0000000000000001E-3</v>
      </c>
    </row>
    <row r="7" spans="1:7" x14ac:dyDescent="0.2">
      <c r="A7" t="s">
        <v>5</v>
      </c>
      <c r="E7" t="s">
        <v>10</v>
      </c>
      <c r="F7">
        <v>0</v>
      </c>
      <c r="G7" s="13">
        <v>4.0000000000000001E-3</v>
      </c>
    </row>
    <row r="8" spans="1:7" x14ac:dyDescent="0.2">
      <c r="A8" s="3" t="s">
        <v>2</v>
      </c>
      <c r="B8" s="6">
        <v>1.01</v>
      </c>
      <c r="E8" t="s">
        <v>11</v>
      </c>
      <c r="F8">
        <v>1.0752688172042901</v>
      </c>
      <c r="G8" s="13">
        <v>4.0000000000000001E-3</v>
      </c>
    </row>
    <row r="9" spans="1:7" x14ac:dyDescent="0.2">
      <c r="E9" t="s">
        <v>12</v>
      </c>
      <c r="F9">
        <v>-2.207130730050932</v>
      </c>
      <c r="G9" s="13">
        <v>8.0000000000000002E-3</v>
      </c>
    </row>
    <row r="10" spans="1:7" x14ac:dyDescent="0.2">
      <c r="E10" t="s">
        <v>13</v>
      </c>
      <c r="F10">
        <v>-1.0676156583629981</v>
      </c>
      <c r="G10" s="13">
        <v>3.0000000000000001E-3</v>
      </c>
    </row>
    <row r="11" spans="1:7" x14ac:dyDescent="0.2">
      <c r="A11" s="5" t="s">
        <v>1</v>
      </c>
      <c r="B11">
        <f>AVERAGE(F3:F14)</f>
        <v>-0.64928663504293138</v>
      </c>
      <c r="E11" t="s">
        <v>14</v>
      </c>
      <c r="F11">
        <v>-2.247191011235957</v>
      </c>
      <c r="G11" s="13">
        <v>4.0000000000000001E-3</v>
      </c>
    </row>
    <row r="12" spans="1:7" x14ac:dyDescent="0.2">
      <c r="A12" t="s">
        <v>18</v>
      </c>
      <c r="B12">
        <f>_xlfn.STDEV.S(F3:F14)</f>
        <v>1.1139161576526215</v>
      </c>
      <c r="E12" t="s">
        <v>15</v>
      </c>
      <c r="F12">
        <v>-0.89887640449438277</v>
      </c>
      <c r="G12" s="13">
        <v>6.0000000000000001E-3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3">
        <v>3.0000000000000001E-3</v>
      </c>
    </row>
    <row r="14" spans="1:7" x14ac:dyDescent="0.2">
      <c r="A14" t="s">
        <v>21</v>
      </c>
      <c r="B14">
        <f>B12/SQRT(B13)</f>
        <v>0.32155989673770735</v>
      </c>
      <c r="E14" t="s">
        <v>17</v>
      </c>
      <c r="F14">
        <v>-1.1235955056179785</v>
      </c>
      <c r="G14" s="13">
        <v>3.0000000000000001E-3</v>
      </c>
    </row>
    <row r="15" spans="1:7" x14ac:dyDescent="0.2">
      <c r="A15" t="s">
        <v>23</v>
      </c>
      <c r="B15">
        <f>AVERAGE(G3:G14)</f>
        <v>7.1666666666666684E-3</v>
      </c>
    </row>
    <row r="16" spans="1:7" x14ac:dyDescent="0.2">
      <c r="A16" s="4" t="s">
        <v>24</v>
      </c>
      <c r="B16" s="6">
        <f>SQRT(B15^2+B14^2)</f>
        <v>0.32163974925539929</v>
      </c>
    </row>
    <row r="18" spans="1:2" x14ac:dyDescent="0.2">
      <c r="A18" s="1" t="s">
        <v>49</v>
      </c>
      <c r="B18" s="17">
        <f>SQRT(B8^2+B16^2)</f>
        <v>1.0599774187694171</v>
      </c>
    </row>
    <row r="19" spans="1:2" x14ac:dyDescent="0.2">
      <c r="A19" t="s">
        <v>25</v>
      </c>
      <c r="B19">
        <f>2*B18</f>
        <v>2.1199548375388342</v>
      </c>
    </row>
    <row r="21" spans="1:2" x14ac:dyDescent="0.2">
      <c r="A21" t="s">
        <v>48</v>
      </c>
      <c r="B21">
        <f>(2*B8)+ABS(B11)</f>
        <v>2.6692866350429316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2BB7-5F09-AE48-8391-E0A9D8C8E5A3}">
  <sheetPr>
    <tabColor rgb="FFFFC000"/>
  </sheetPr>
  <dimension ref="A2:G21"/>
  <sheetViews>
    <sheetView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1.7857142857142856</v>
      </c>
      <c r="G3" s="13">
        <v>0.14099999999999999</v>
      </c>
    </row>
    <row r="4" spans="1:7" x14ac:dyDescent="0.2">
      <c r="B4" s="2" t="s">
        <v>0</v>
      </c>
      <c r="E4" t="s">
        <v>7</v>
      </c>
      <c r="F4">
        <v>0</v>
      </c>
      <c r="G4" s="13">
        <v>0.114</v>
      </c>
    </row>
    <row r="5" spans="1:7" x14ac:dyDescent="0.2">
      <c r="A5" t="s">
        <v>3</v>
      </c>
      <c r="E5" t="s">
        <v>8</v>
      </c>
      <c r="F5">
        <v>-0.33594624860022076</v>
      </c>
      <c r="G5" s="13">
        <v>0.105</v>
      </c>
    </row>
    <row r="6" spans="1:7" x14ac:dyDescent="0.2">
      <c r="A6" t="s">
        <v>4</v>
      </c>
      <c r="E6" t="s">
        <v>9</v>
      </c>
      <c r="F6">
        <v>0</v>
      </c>
      <c r="G6" s="13">
        <v>0.13800000000000001</v>
      </c>
    </row>
    <row r="7" spans="1:7" x14ac:dyDescent="0.2">
      <c r="A7" t="s">
        <v>5</v>
      </c>
      <c r="E7" t="s">
        <v>10</v>
      </c>
      <c r="F7">
        <v>0</v>
      </c>
      <c r="G7" s="13">
        <v>0.13</v>
      </c>
    </row>
    <row r="8" spans="1:7" x14ac:dyDescent="0.2">
      <c r="A8" s="3" t="s">
        <v>2</v>
      </c>
      <c r="B8" s="6">
        <v>0.72</v>
      </c>
      <c r="E8" t="s">
        <v>11</v>
      </c>
      <c r="F8">
        <v>0.7371007371007301</v>
      </c>
      <c r="G8" s="13">
        <v>9.7000000000000003E-2</v>
      </c>
    </row>
    <row r="9" spans="1:7" x14ac:dyDescent="0.2">
      <c r="E9" t="s">
        <v>12</v>
      </c>
      <c r="F9">
        <v>-1.7699115044247788</v>
      </c>
      <c r="G9" s="13">
        <v>0.14699999999999999</v>
      </c>
    </row>
    <row r="10" spans="1:7" x14ac:dyDescent="0.2">
      <c r="E10" t="s">
        <v>13</v>
      </c>
      <c r="F10">
        <v>-0.67720090293453095</v>
      </c>
      <c r="G10" s="13">
        <v>0.114</v>
      </c>
    </row>
    <row r="11" spans="1:7" x14ac:dyDescent="0.2">
      <c r="A11" s="5" t="s">
        <v>1</v>
      </c>
      <c r="B11">
        <f>AVERAGE(F3:F14)</f>
        <v>-3.5168218435476122E-2</v>
      </c>
      <c r="E11" t="s">
        <v>14</v>
      </c>
      <c r="F11">
        <v>0.50251256281407752</v>
      </c>
      <c r="G11" s="13">
        <v>9.4E-2</v>
      </c>
    </row>
    <row r="12" spans="1:7" x14ac:dyDescent="0.2">
      <c r="A12" t="s">
        <v>18</v>
      </c>
      <c r="B12">
        <f>_xlfn.STDEV.S(F3:F14)</f>
        <v>0.8940830055864899</v>
      </c>
      <c r="E12" t="s">
        <v>15</v>
      </c>
      <c r="F12">
        <v>0</v>
      </c>
      <c r="G12" s="13">
        <v>0.128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0.33821871476888066</v>
      </c>
      <c r="G13" s="13">
        <v>9.9000000000000005E-2</v>
      </c>
    </row>
    <row r="14" spans="1:7" x14ac:dyDescent="0.2">
      <c r="A14" t="s">
        <v>21</v>
      </c>
      <c r="B14">
        <f>B12/SQRT(B13)</f>
        <v>0.25809953197661484</v>
      </c>
      <c r="E14" t="s">
        <v>17</v>
      </c>
      <c r="F14">
        <v>-1.0025062656641568</v>
      </c>
      <c r="G14" s="13">
        <v>9.2999999999999999E-2</v>
      </c>
    </row>
    <row r="15" spans="1:7" x14ac:dyDescent="0.2">
      <c r="A15" t="s">
        <v>23</v>
      </c>
      <c r="B15">
        <f>AVERAGE(G3:G14)</f>
        <v>0.11666666666666668</v>
      </c>
    </row>
    <row r="16" spans="1:7" x14ac:dyDescent="0.2">
      <c r="A16" s="4" t="s">
        <v>24</v>
      </c>
      <c r="B16" s="6">
        <f>SQRT(B15^2+B14^2)</f>
        <v>0.28324279252552703</v>
      </c>
    </row>
    <row r="18" spans="1:2" x14ac:dyDescent="0.2">
      <c r="A18" s="1" t="s">
        <v>49</v>
      </c>
      <c r="B18" s="17">
        <f>SQRT(B8^2+B16^2)</f>
        <v>0.77370955759746096</v>
      </c>
    </row>
    <row r="19" spans="1:2" x14ac:dyDescent="0.2">
      <c r="A19" t="s">
        <v>25</v>
      </c>
      <c r="B19">
        <f>2*B18</f>
        <v>1.5474191151949219</v>
      </c>
    </row>
    <row r="21" spans="1:2" x14ac:dyDescent="0.2">
      <c r="A21" t="s">
        <v>48</v>
      </c>
      <c r="B21">
        <f>(2*B8)+ABS(B11)</f>
        <v>1.475168218435476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B469-C91E-3E4E-BEDC-49FBB83C2257}">
  <sheetPr>
    <tabColor rgb="FFFFC000"/>
  </sheetPr>
  <dimension ref="A2:G21"/>
  <sheetViews>
    <sheetView zoomScale="106" workbookViewId="0">
      <selection activeCell="B22" sqref="B22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 s="14">
        <v>4.6511627906976782</v>
      </c>
      <c r="G3" s="13">
        <v>0.34399999999999997</v>
      </c>
    </row>
    <row r="4" spans="1:7" x14ac:dyDescent="0.2">
      <c r="B4" s="2"/>
      <c r="E4" t="s">
        <v>7</v>
      </c>
      <c r="F4" s="14">
        <v>7.5949367088607538</v>
      </c>
      <c r="G4" s="13">
        <v>0.35799999999999998</v>
      </c>
    </row>
    <row r="5" spans="1:7" x14ac:dyDescent="0.2">
      <c r="E5" t="s">
        <v>8</v>
      </c>
      <c r="F5" s="14">
        <v>1.4492753623188355</v>
      </c>
      <c r="G5" s="13">
        <v>0.26400000000000001</v>
      </c>
    </row>
    <row r="6" spans="1:7" x14ac:dyDescent="0.2">
      <c r="E6" t="s">
        <v>9</v>
      </c>
      <c r="F6" s="14">
        <v>5.8823529411764701</v>
      </c>
      <c r="G6" s="13">
        <v>0.36499999999999999</v>
      </c>
    </row>
    <row r="7" spans="1:7" x14ac:dyDescent="0.2">
      <c r="E7" t="s">
        <v>10</v>
      </c>
      <c r="F7" s="14">
        <v>-10.828025477707003</v>
      </c>
      <c r="G7" s="13">
        <v>0.31</v>
      </c>
    </row>
    <row r="8" spans="1:7" x14ac:dyDescent="0.2">
      <c r="A8" s="3" t="s">
        <v>2</v>
      </c>
      <c r="B8" s="6">
        <v>4.4000000000000004</v>
      </c>
      <c r="E8" t="s">
        <v>11</v>
      </c>
      <c r="F8" s="14">
        <v>3.1746031746031771</v>
      </c>
      <c r="G8" s="13">
        <v>0.21</v>
      </c>
    </row>
    <row r="9" spans="1:7" x14ac:dyDescent="0.2">
      <c r="E9" t="s">
        <v>12</v>
      </c>
      <c r="F9" s="14">
        <v>-5.0632911392405102</v>
      </c>
      <c r="G9" s="13">
        <v>0.34399999999999997</v>
      </c>
    </row>
    <row r="10" spans="1:7" x14ac:dyDescent="0.2">
      <c r="E10" t="s">
        <v>13</v>
      </c>
      <c r="F10" s="14">
        <v>13.333333333333334</v>
      </c>
      <c r="G10" s="13">
        <v>0.41399999999999998</v>
      </c>
    </row>
    <row r="11" spans="1:7" x14ac:dyDescent="0.2">
      <c r="A11" s="5" t="s">
        <v>1</v>
      </c>
      <c r="B11">
        <f>AVERAGE(F3:F14)</f>
        <v>2.9483329996243253</v>
      </c>
      <c r="E11" t="s">
        <v>14</v>
      </c>
      <c r="F11" s="14">
        <v>11.842105263157899</v>
      </c>
      <c r="G11" s="13">
        <v>0.432</v>
      </c>
    </row>
    <row r="12" spans="1:7" x14ac:dyDescent="0.2">
      <c r="A12" t="s">
        <v>18</v>
      </c>
      <c r="B12">
        <f>_xlfn.STDEV.S(F3:F14)</f>
        <v>8.0125926453406624</v>
      </c>
      <c r="E12" t="s">
        <v>15</v>
      </c>
      <c r="F12" s="14">
        <v>13.207547169811317</v>
      </c>
      <c r="G12" s="13">
        <v>0.316</v>
      </c>
    </row>
    <row r="13" spans="1:7" x14ac:dyDescent="0.2">
      <c r="A13" t="s">
        <v>19</v>
      </c>
      <c r="B13">
        <f>COUNT(F3:F14)</f>
        <v>12</v>
      </c>
      <c r="E13" t="s">
        <v>16</v>
      </c>
      <c r="F13" s="14">
        <v>-4.4585987261146451</v>
      </c>
      <c r="G13" s="13">
        <v>0.39200000000000002</v>
      </c>
    </row>
    <row r="14" spans="1:7" x14ac:dyDescent="0.2">
      <c r="A14" t="s">
        <v>21</v>
      </c>
      <c r="B14">
        <f>B12/SQRT(B13)</f>
        <v>2.3130362603471237</v>
      </c>
      <c r="E14" t="s">
        <v>17</v>
      </c>
      <c r="F14" s="14">
        <v>-5.4054054054054097</v>
      </c>
      <c r="G14" s="13">
        <v>0.42099999999999999</v>
      </c>
    </row>
    <row r="15" spans="1:7" x14ac:dyDescent="0.2">
      <c r="A15" t="s">
        <v>23</v>
      </c>
      <c r="B15">
        <f>AVERAGE(G3:G14)</f>
        <v>0.34749999999999998</v>
      </c>
    </row>
    <row r="16" spans="1:7" x14ac:dyDescent="0.2">
      <c r="A16" s="4" t="s">
        <v>24</v>
      </c>
      <c r="B16" s="6">
        <f>SQRT(B15^2+B14^2)</f>
        <v>2.3389940127500557</v>
      </c>
    </row>
    <row r="18" spans="1:2" x14ac:dyDescent="0.2">
      <c r="A18" s="1" t="s">
        <v>49</v>
      </c>
      <c r="B18" s="17">
        <f>SQRT(B8^2+B16^2)</f>
        <v>4.9830606048572808</v>
      </c>
    </row>
    <row r="19" spans="1:2" x14ac:dyDescent="0.2">
      <c r="A19" t="s">
        <v>25</v>
      </c>
      <c r="B19">
        <f>2*B18</f>
        <v>9.9661212097145615</v>
      </c>
    </row>
    <row r="21" spans="1:2" x14ac:dyDescent="0.2">
      <c r="A21" t="s">
        <v>48</v>
      </c>
      <c r="B21">
        <f>(2*B8)+ABS(B11)</f>
        <v>11.748332999624326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ED3A-E0A7-D94A-AA6C-7CB80E2C53AE}">
  <dimension ref="A2:P29"/>
  <sheetViews>
    <sheetView tabSelected="1" topLeftCell="E1" workbookViewId="0">
      <selection activeCell="G27" sqref="G27"/>
    </sheetView>
  </sheetViews>
  <sheetFormatPr baseColWidth="10" defaultRowHeight="16" x14ac:dyDescent="0.2"/>
  <cols>
    <col min="1" max="1" width="26.5" customWidth="1"/>
    <col min="3" max="3" width="14.1640625" customWidth="1"/>
    <col min="6" max="6" width="13.6640625" customWidth="1"/>
    <col min="7" max="7" width="12.5" customWidth="1"/>
    <col min="8" max="8" width="18" customWidth="1"/>
    <col min="9" max="9" width="24.33203125" customWidth="1"/>
    <col min="15" max="15" width="17.83203125" customWidth="1"/>
  </cols>
  <sheetData>
    <row r="2" spans="1:16" ht="19" x14ac:dyDescent="0.25">
      <c r="A2" s="15" t="s">
        <v>77</v>
      </c>
      <c r="B2" s="30" t="s">
        <v>25</v>
      </c>
      <c r="C2" s="30" t="s">
        <v>79</v>
      </c>
      <c r="D2" s="30" t="s">
        <v>48</v>
      </c>
      <c r="E2" s="34" t="s">
        <v>80</v>
      </c>
      <c r="F2" s="34" t="s">
        <v>82</v>
      </c>
      <c r="G2" s="34" t="s">
        <v>83</v>
      </c>
      <c r="H2" s="34" t="s">
        <v>81</v>
      </c>
      <c r="I2" s="15"/>
    </row>
    <row r="3" spans="1:16" x14ac:dyDescent="0.2">
      <c r="A3" t="s">
        <v>50</v>
      </c>
      <c r="B3" s="31">
        <f>Glucose!B22</f>
        <v>3.9487268578143602</v>
      </c>
      <c r="C3" s="31">
        <v>7.8618640442327674</v>
      </c>
      <c r="D3" s="31">
        <f>Glucose!B24</f>
        <v>5.5616551812600239</v>
      </c>
      <c r="E3">
        <v>8</v>
      </c>
      <c r="F3" s="14">
        <f>(B3/C3)</f>
        <v>0.50226343722021372</v>
      </c>
      <c r="G3" s="14">
        <f>(D3/E3)</f>
        <v>0.69520689765750299</v>
      </c>
      <c r="H3" s="14">
        <f>0.5*(F3+G3)</f>
        <v>0.59873516743885835</v>
      </c>
    </row>
    <row r="4" spans="1:16" ht="22" x14ac:dyDescent="0.3">
      <c r="A4" s="29" t="s">
        <v>51</v>
      </c>
      <c r="B4" s="31">
        <f>Urea!B22</f>
        <v>5.9040074022893272</v>
      </c>
      <c r="C4" s="31">
        <v>21.638052419291341</v>
      </c>
      <c r="D4" s="31">
        <f>Urea!B24</f>
        <v>5.6960318793292224</v>
      </c>
      <c r="E4">
        <v>9</v>
      </c>
      <c r="F4" s="14">
        <f t="shared" ref="F4:F29" si="0">(B4/C4)</f>
        <v>0.27285299470970997</v>
      </c>
      <c r="G4" s="14">
        <f t="shared" ref="G4:G29" si="1">(D4/E4)</f>
        <v>0.63289243103658022</v>
      </c>
      <c r="H4" s="14">
        <f t="shared" ref="H4:H29" si="2">0.5*(F4+G4)</f>
        <v>0.45287271287314512</v>
      </c>
      <c r="N4" s="32" t="s">
        <v>78</v>
      </c>
      <c r="O4" s="32"/>
      <c r="P4" s="32">
        <f>CORREL(B3:B29,D3:D29)</f>
        <v>0.93085723877395288</v>
      </c>
    </row>
    <row r="5" spans="1:16" x14ac:dyDescent="0.2">
      <c r="A5" s="29" t="s">
        <v>52</v>
      </c>
      <c r="B5" s="31">
        <f>Creatinine!B19</f>
        <v>4.0086088037954646</v>
      </c>
      <c r="C5" s="31">
        <v>9.0215367316217261</v>
      </c>
      <c r="D5" s="31">
        <f>Creatinine!B20</f>
        <v>3.720992643110594</v>
      </c>
      <c r="E5">
        <v>10</v>
      </c>
      <c r="F5" s="14">
        <f t="shared" si="0"/>
        <v>0.4443376913541503</v>
      </c>
      <c r="G5" s="14">
        <f t="shared" si="1"/>
        <v>0.37209926431105939</v>
      </c>
      <c r="H5" s="14">
        <f t="shared" si="2"/>
        <v>0.40821847783260484</v>
      </c>
    </row>
    <row r="6" spans="1:16" x14ac:dyDescent="0.2">
      <c r="A6" s="29" t="s">
        <v>53</v>
      </c>
      <c r="B6" s="31">
        <f>cholesterol!B19</f>
        <v>4.4370145148074105</v>
      </c>
      <c r="C6" s="31">
        <v>10.237980757942458</v>
      </c>
      <c r="D6" s="31">
        <f>cholesterol!B21</f>
        <v>8.0979315180338638</v>
      </c>
      <c r="E6">
        <v>10</v>
      </c>
      <c r="F6" s="14">
        <f t="shared" si="0"/>
        <v>0.43338765912069599</v>
      </c>
      <c r="G6" s="14">
        <f t="shared" si="1"/>
        <v>0.8097931518033864</v>
      </c>
      <c r="H6" s="14">
        <f t="shared" si="2"/>
        <v>0.62159040546204114</v>
      </c>
    </row>
    <row r="7" spans="1:16" x14ac:dyDescent="0.2">
      <c r="A7" s="29" t="s">
        <v>54</v>
      </c>
      <c r="B7" s="31">
        <f>TGL!B19</f>
        <v>6.4642194612784039</v>
      </c>
      <c r="C7" s="31">
        <v>33.353441070600198</v>
      </c>
      <c r="D7" s="31">
        <f>TGL!B21</f>
        <v>7.1182137235768668</v>
      </c>
      <c r="E7">
        <v>15</v>
      </c>
      <c r="F7" s="14">
        <f t="shared" si="0"/>
        <v>0.19380967161965096</v>
      </c>
      <c r="G7" s="14">
        <f t="shared" si="1"/>
        <v>0.47454758157179111</v>
      </c>
      <c r="H7" s="14">
        <f t="shared" si="2"/>
        <v>0.33417862659572106</v>
      </c>
    </row>
    <row r="8" spans="1:16" x14ac:dyDescent="0.2">
      <c r="A8" s="29" t="s">
        <v>55</v>
      </c>
      <c r="B8" s="31">
        <f>HDL!B20</f>
        <v>5.3192979955104382</v>
      </c>
      <c r="C8" s="31">
        <v>12.279002656975036</v>
      </c>
      <c r="D8" s="31">
        <f>HDL!B22</f>
        <v>5.8821224168844859</v>
      </c>
      <c r="E8">
        <v>20</v>
      </c>
      <c r="F8" s="14">
        <f t="shared" si="0"/>
        <v>0.43320277257932127</v>
      </c>
      <c r="G8" s="14">
        <f t="shared" si="1"/>
        <v>0.29410612084422427</v>
      </c>
      <c r="H8" s="14">
        <f t="shared" si="2"/>
        <v>0.36365444671177277</v>
      </c>
    </row>
    <row r="9" spans="1:16" x14ac:dyDescent="0.2">
      <c r="A9" s="29" t="s">
        <v>56</v>
      </c>
      <c r="B9" s="31">
        <f>'T. Protein'!B19</f>
        <v>2.9061749517568636</v>
      </c>
      <c r="C9" s="31">
        <v>4.3454717810612928</v>
      </c>
      <c r="D9" s="31">
        <f>'T. Protein'!B21</f>
        <v>3.4182542577047172</v>
      </c>
      <c r="E9">
        <v>8</v>
      </c>
      <c r="F9" s="14">
        <f t="shared" si="0"/>
        <v>0.6687823781120239</v>
      </c>
      <c r="G9" s="14">
        <f t="shared" si="1"/>
        <v>0.42728178221308966</v>
      </c>
      <c r="H9" s="14">
        <f t="shared" si="2"/>
        <v>0.54803208016255678</v>
      </c>
    </row>
    <row r="10" spans="1:16" x14ac:dyDescent="0.2">
      <c r="A10" s="29" t="s">
        <v>57</v>
      </c>
      <c r="B10" s="31">
        <f>albumin!B19</f>
        <v>8.2260399562535493</v>
      </c>
      <c r="C10" s="31">
        <v>4.188264855521914</v>
      </c>
      <c r="D10" s="31">
        <f>albumin!B21</f>
        <v>8.900507062330318</v>
      </c>
      <c r="E10">
        <v>8</v>
      </c>
      <c r="F10" s="14">
        <f t="shared" si="0"/>
        <v>1.9640687110339097</v>
      </c>
      <c r="G10" s="14">
        <f t="shared" si="1"/>
        <v>1.1125633827912897</v>
      </c>
      <c r="H10" s="35">
        <f t="shared" si="2"/>
        <v>1.5383160469125996</v>
      </c>
    </row>
    <row r="11" spans="1:16" x14ac:dyDescent="0.2">
      <c r="A11" s="29" t="s">
        <v>58</v>
      </c>
      <c r="B11" s="31">
        <f>TBIL!B19</f>
        <v>3.8928930427963535</v>
      </c>
      <c r="C11" s="31">
        <v>32.598459031831545</v>
      </c>
      <c r="D11" s="31">
        <f>TBIL!B21</f>
        <v>4.4765144151457301</v>
      </c>
      <c r="E11">
        <v>20</v>
      </c>
      <c r="F11" s="14">
        <f t="shared" si="0"/>
        <v>0.11941954185610568</v>
      </c>
      <c r="G11" s="14">
        <f t="shared" si="1"/>
        <v>0.22382572075728652</v>
      </c>
      <c r="H11" s="14">
        <f t="shared" si="2"/>
        <v>0.17162263130669608</v>
      </c>
    </row>
    <row r="12" spans="1:16" x14ac:dyDescent="0.2">
      <c r="A12" s="29" t="s">
        <v>59</v>
      </c>
      <c r="B12" s="31">
        <f>DBIL!B19</f>
        <v>5.8277813335452437</v>
      </c>
      <c r="C12" s="31">
        <v>31.248684972331237</v>
      </c>
      <c r="D12" s="31">
        <f>DBIL!B21</f>
        <v>6.5816174745213427</v>
      </c>
      <c r="E12">
        <v>44.5</v>
      </c>
      <c r="F12" s="14">
        <f t="shared" si="0"/>
        <v>0.18649685062604654</v>
      </c>
      <c r="G12" s="14">
        <f t="shared" si="1"/>
        <v>0.14790151628137849</v>
      </c>
      <c r="H12" s="14">
        <f t="shared" si="2"/>
        <v>0.16719918345371251</v>
      </c>
    </row>
    <row r="13" spans="1:16" x14ac:dyDescent="0.2">
      <c r="A13" s="29" t="s">
        <v>60</v>
      </c>
      <c r="B13" s="31">
        <f>AST!B19</f>
        <v>5.0029941956560933</v>
      </c>
      <c r="C13" s="31">
        <v>15.193193377298927</v>
      </c>
      <c r="D13" s="31">
        <f>AST!B21</f>
        <v>5.3516133772058936</v>
      </c>
      <c r="E13">
        <v>15</v>
      </c>
      <c r="F13" s="14">
        <f t="shared" si="0"/>
        <v>0.32929181320968182</v>
      </c>
      <c r="G13" s="14">
        <f t="shared" si="1"/>
        <v>0.35677422514705959</v>
      </c>
      <c r="H13" s="14">
        <f t="shared" si="2"/>
        <v>0.3430330191783707</v>
      </c>
    </row>
    <row r="14" spans="1:16" x14ac:dyDescent="0.2">
      <c r="A14" s="29" t="s">
        <v>61</v>
      </c>
      <c r="B14" s="31">
        <f>ALT!B19</f>
        <v>5.6210355193737689</v>
      </c>
      <c r="C14" s="31">
        <v>22.496624746837021</v>
      </c>
      <c r="D14" s="31">
        <f>ALT!B21</f>
        <v>6.214828109182136</v>
      </c>
      <c r="E14">
        <v>15</v>
      </c>
      <c r="F14" s="14">
        <f t="shared" si="0"/>
        <v>0.24986128286484729</v>
      </c>
      <c r="G14" s="14">
        <f t="shared" si="1"/>
        <v>0.41432187394547576</v>
      </c>
      <c r="H14" s="14">
        <f t="shared" si="2"/>
        <v>0.33209157840516151</v>
      </c>
    </row>
    <row r="15" spans="1:16" x14ac:dyDescent="0.2">
      <c r="A15" s="29" t="s">
        <v>62</v>
      </c>
      <c r="B15" s="31">
        <f>GGT!B19</f>
        <v>3.6814956158883323</v>
      </c>
      <c r="C15" s="31">
        <v>21.230233453732914</v>
      </c>
      <c r="D15" s="31">
        <f>GGT!B21</f>
        <v>3.5873873212953047</v>
      </c>
      <c r="E15">
        <v>15</v>
      </c>
      <c r="F15" s="14">
        <f t="shared" si="0"/>
        <v>0.17340815511574201</v>
      </c>
      <c r="G15" s="14">
        <f t="shared" si="1"/>
        <v>0.23915915475302033</v>
      </c>
      <c r="H15" s="14">
        <f t="shared" si="2"/>
        <v>0.20628365493438117</v>
      </c>
    </row>
    <row r="16" spans="1:16" x14ac:dyDescent="0.2">
      <c r="A16" s="29" t="s">
        <v>63</v>
      </c>
      <c r="B16" s="31">
        <f>Calcium!B19</f>
        <v>2.6900314232685361</v>
      </c>
      <c r="C16" s="31">
        <v>2.9028003720545446</v>
      </c>
      <c r="D16" s="31">
        <f>Calcium!B21</f>
        <v>2.8265366647706429</v>
      </c>
      <c r="E16">
        <v>8.3000000000000007</v>
      </c>
      <c r="F16" s="14">
        <f t="shared" si="0"/>
        <v>0.92670217668622701</v>
      </c>
      <c r="G16" s="14">
        <f t="shared" si="1"/>
        <v>0.34054658611694488</v>
      </c>
      <c r="H16" s="14">
        <f t="shared" si="2"/>
        <v>0.63362438140158595</v>
      </c>
    </row>
    <row r="17" spans="1:8" x14ac:dyDescent="0.2">
      <c r="A17" s="29" t="s">
        <v>64</v>
      </c>
      <c r="B17" s="31">
        <f>Phosphorus!B19</f>
        <v>6.1296929940040155</v>
      </c>
      <c r="C17" s="31">
        <v>12.563451456506687</v>
      </c>
      <c r="D17" s="31">
        <f>Phosphorus!B21</f>
        <v>6.2877874546292301</v>
      </c>
      <c r="E17">
        <v>10</v>
      </c>
      <c r="F17" s="14">
        <f t="shared" si="0"/>
        <v>0.48789880831906351</v>
      </c>
      <c r="G17" s="14">
        <f t="shared" si="1"/>
        <v>0.62877874546292301</v>
      </c>
      <c r="H17" s="14">
        <f t="shared" si="2"/>
        <v>0.55833877689099332</v>
      </c>
    </row>
    <row r="18" spans="1:8" x14ac:dyDescent="0.2">
      <c r="A18" s="29" t="s">
        <v>65</v>
      </c>
      <c r="B18" s="31">
        <f>'Uric acid'!B19</f>
        <v>3.6015971450357682</v>
      </c>
      <c r="C18" s="31">
        <v>15.037172689704672</v>
      </c>
      <c r="D18" s="31">
        <f>'Uric acid'!B21</f>
        <v>4.0856305757106739</v>
      </c>
      <c r="E18">
        <v>10</v>
      </c>
      <c r="F18" s="14">
        <f t="shared" si="0"/>
        <v>0.23951292037110355</v>
      </c>
      <c r="G18" s="14">
        <f t="shared" si="1"/>
        <v>0.40856305757106737</v>
      </c>
      <c r="H18" s="14">
        <f t="shared" si="2"/>
        <v>0.32403798897108549</v>
      </c>
    </row>
    <row r="19" spans="1:8" x14ac:dyDescent="0.2">
      <c r="A19" s="29" t="s">
        <v>66</v>
      </c>
      <c r="B19" s="31">
        <f>Magnesium!B19</f>
        <v>4.6957196154739833</v>
      </c>
      <c r="C19" s="31">
        <v>4.7247023715785534</v>
      </c>
      <c r="D19" s="31">
        <f>Magnesium!B21</f>
        <v>5.3717999229858888</v>
      </c>
      <c r="E19">
        <v>15</v>
      </c>
      <c r="F19" s="14">
        <f t="shared" si="0"/>
        <v>0.99386569696349214</v>
      </c>
      <c r="G19" s="14">
        <f t="shared" si="1"/>
        <v>0.35811999486572593</v>
      </c>
      <c r="H19" s="14">
        <f t="shared" si="2"/>
        <v>0.67599284591460906</v>
      </c>
    </row>
    <row r="20" spans="1:8" x14ac:dyDescent="0.2">
      <c r="A20" s="29" t="s">
        <v>67</v>
      </c>
      <c r="B20" s="31">
        <f>Amylase!B19</f>
        <v>6.9539393248503139</v>
      </c>
      <c r="C20" s="31">
        <v>15.128310588099387</v>
      </c>
      <c r="D20" s="31">
        <f>Amylase!B21</f>
        <v>4.9711316163018386</v>
      </c>
      <c r="E20">
        <v>20</v>
      </c>
      <c r="F20" s="14">
        <f t="shared" si="0"/>
        <v>0.45966397135715847</v>
      </c>
      <c r="G20" s="14">
        <f t="shared" si="1"/>
        <v>0.24855658081509194</v>
      </c>
      <c r="H20" s="14">
        <f t="shared" si="2"/>
        <v>0.35411027608612522</v>
      </c>
    </row>
    <row r="21" spans="1:8" x14ac:dyDescent="0.2">
      <c r="A21" s="29" t="s">
        <v>68</v>
      </c>
      <c r="B21" s="31">
        <f>Lipase!B19</f>
        <v>10.934556075673912</v>
      </c>
      <c r="C21" s="31">
        <v>14.801435741170517</v>
      </c>
      <c r="D21" s="31">
        <f>Lipase!B21</f>
        <v>13.249506073213418</v>
      </c>
      <c r="E21">
        <v>19.3</v>
      </c>
      <c r="F21" s="14">
        <f t="shared" si="0"/>
        <v>0.73874969069785612</v>
      </c>
      <c r="G21" s="14">
        <f t="shared" si="1"/>
        <v>0.68650290534784542</v>
      </c>
      <c r="H21" s="14">
        <f t="shared" si="2"/>
        <v>0.71262629802285082</v>
      </c>
    </row>
    <row r="22" spans="1:8" x14ac:dyDescent="0.2">
      <c r="A22" s="29" t="s">
        <v>69</v>
      </c>
      <c r="B22" s="31">
        <f>CPK!B19</f>
        <v>5.7307823303357939</v>
      </c>
      <c r="C22" s="31">
        <v>25.049831586260215</v>
      </c>
      <c r="D22" s="31">
        <f>CPK!B21</f>
        <v>5.857866999813055</v>
      </c>
      <c r="E22">
        <v>20</v>
      </c>
      <c r="F22" s="14">
        <f t="shared" si="0"/>
        <v>0.22877528380187262</v>
      </c>
      <c r="G22" s="14">
        <f>(D22/E22)</f>
        <v>0.29289334999065275</v>
      </c>
      <c r="H22" s="14">
        <f t="shared" si="2"/>
        <v>0.26083431689626269</v>
      </c>
    </row>
    <row r="23" spans="1:8" x14ac:dyDescent="0.2">
      <c r="A23" s="29" t="s">
        <v>70</v>
      </c>
      <c r="B23" s="31">
        <f>LDH!B19</f>
        <v>10.197795458846224</v>
      </c>
      <c r="C23" s="31">
        <v>8.1156099585921453</v>
      </c>
      <c r="D23" s="31">
        <f>LDH!B21</f>
        <v>9.0040745907631319</v>
      </c>
      <c r="E23">
        <v>15</v>
      </c>
      <c r="F23" s="14">
        <f t="shared" si="0"/>
        <v>1.2565654967251882</v>
      </c>
      <c r="G23" s="14">
        <f t="shared" si="1"/>
        <v>0.6002716393842088</v>
      </c>
      <c r="H23" s="14">
        <f t="shared" si="2"/>
        <v>0.92841856805469858</v>
      </c>
    </row>
    <row r="24" spans="1:8" x14ac:dyDescent="0.2">
      <c r="A24" s="29" t="s">
        <v>71</v>
      </c>
      <c r="B24" s="31">
        <f>Iron!B19</f>
        <v>2.9326429329694368</v>
      </c>
      <c r="C24" s="31">
        <v>40.353345586208832</v>
      </c>
      <c r="D24" s="31">
        <f>Iron!B21</f>
        <v>2.733669898523353</v>
      </c>
      <c r="E24">
        <v>15</v>
      </c>
      <c r="F24" s="14">
        <f t="shared" si="0"/>
        <v>7.2674096543105401E-2</v>
      </c>
      <c r="G24" s="14">
        <f t="shared" si="1"/>
        <v>0.18224465990155686</v>
      </c>
      <c r="H24" s="14">
        <f t="shared" si="2"/>
        <v>0.12745937822233114</v>
      </c>
    </row>
    <row r="25" spans="1:8" x14ac:dyDescent="0.2">
      <c r="A25" s="38" t="s">
        <v>72</v>
      </c>
      <c r="B25" s="39">
        <f>UIBC!B19</f>
        <v>10.696141845345382</v>
      </c>
      <c r="C25" s="39"/>
      <c r="D25" s="39">
        <f>UIBC!B21</f>
        <v>10.525867159739892</v>
      </c>
      <c r="E25" s="36"/>
      <c r="F25" s="37"/>
      <c r="G25" s="37"/>
      <c r="H25" s="37"/>
    </row>
    <row r="26" spans="1:8" x14ac:dyDescent="0.2">
      <c r="A26" s="29" t="s">
        <v>73</v>
      </c>
      <c r="B26" s="31">
        <f>Sodium!B19</f>
        <v>2.8544308168485046</v>
      </c>
      <c r="C26" s="31">
        <v>0.82925041453109938</v>
      </c>
      <c r="D26" s="31">
        <f>Sodium!B21</f>
        <v>3.5344934426339463</v>
      </c>
      <c r="E26">
        <v>3.6</v>
      </c>
      <c r="F26" s="14">
        <f t="shared" si="0"/>
        <v>3.4421819595502354</v>
      </c>
      <c r="G26" s="14">
        <f t="shared" si="1"/>
        <v>0.981803734064985</v>
      </c>
      <c r="H26" s="35">
        <f t="shared" si="2"/>
        <v>2.2119928468076102</v>
      </c>
    </row>
    <row r="27" spans="1:8" x14ac:dyDescent="0.2">
      <c r="A27" s="29" t="s">
        <v>74</v>
      </c>
      <c r="B27" s="31">
        <f>Potassium!B19</f>
        <v>2.1199548375388342</v>
      </c>
      <c r="C27" s="31">
        <v>6.3730143966572053</v>
      </c>
      <c r="D27" s="31">
        <f>Potassium!B21</f>
        <v>2.6692866350429316</v>
      </c>
      <c r="E27">
        <v>5.6</v>
      </c>
      <c r="F27" s="14">
        <f t="shared" si="0"/>
        <v>0.33264554347324243</v>
      </c>
      <c r="G27" s="14">
        <f t="shared" si="1"/>
        <v>0.47665832768623784</v>
      </c>
      <c r="H27" s="14">
        <f t="shared" si="2"/>
        <v>0.40465193557974011</v>
      </c>
    </row>
    <row r="28" spans="1:8" x14ac:dyDescent="0.2">
      <c r="A28" s="29" t="s">
        <v>75</v>
      </c>
      <c r="B28" s="31">
        <f>Chloride!B19</f>
        <v>1.5474191151949219</v>
      </c>
      <c r="C28" s="31">
        <v>1.6211974740912964</v>
      </c>
      <c r="D28" s="31">
        <f>Chloride!B21</f>
        <v>1.475168218435476</v>
      </c>
      <c r="E28">
        <v>5</v>
      </c>
      <c r="F28" s="14">
        <f t="shared" si="0"/>
        <v>0.95449144223609883</v>
      </c>
      <c r="G28" s="14">
        <f t="shared" si="1"/>
        <v>0.29503364368709517</v>
      </c>
      <c r="H28" s="14">
        <f t="shared" si="2"/>
        <v>0.62476254296159706</v>
      </c>
    </row>
    <row r="29" spans="1:8" x14ac:dyDescent="0.2">
      <c r="A29" s="29" t="s">
        <v>76</v>
      </c>
      <c r="B29" s="31">
        <f>Bicarbonate!B19</f>
        <v>9.9661212097145615</v>
      </c>
      <c r="C29" s="31">
        <v>6.7002332048966782</v>
      </c>
      <c r="D29" s="31">
        <f>Bicarbonate!B21</f>
        <v>11.748332999624326</v>
      </c>
      <c r="E29">
        <v>20</v>
      </c>
      <c r="F29" s="14">
        <f t="shared" si="0"/>
        <v>1.4874290050727041</v>
      </c>
      <c r="G29" s="14">
        <f t="shared" si="1"/>
        <v>0.58741664998121634</v>
      </c>
      <c r="H29" s="35">
        <f t="shared" si="2"/>
        <v>1.0374228275269601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Glucose</vt:lpstr>
      <vt:lpstr>Urea</vt:lpstr>
      <vt:lpstr>Creatinine</vt:lpstr>
      <vt:lpstr>cholesterol</vt:lpstr>
      <vt:lpstr>TGL</vt:lpstr>
      <vt:lpstr>HDL</vt:lpstr>
      <vt:lpstr>T. Protein</vt:lpstr>
      <vt:lpstr>albumin</vt:lpstr>
      <vt:lpstr>TBIL</vt:lpstr>
      <vt:lpstr>DBIL</vt:lpstr>
      <vt:lpstr>AST</vt:lpstr>
      <vt:lpstr>ALT</vt:lpstr>
      <vt:lpstr>GGT</vt:lpstr>
      <vt:lpstr>Calcium</vt:lpstr>
      <vt:lpstr>Phosphorus</vt:lpstr>
      <vt:lpstr>Uric acid</vt:lpstr>
      <vt:lpstr>Magnesium</vt:lpstr>
      <vt:lpstr>Amylase</vt:lpstr>
      <vt:lpstr>Lipase</vt:lpstr>
      <vt:lpstr>CPK</vt:lpstr>
      <vt:lpstr>LDH</vt:lpstr>
      <vt:lpstr>Iron</vt:lpstr>
      <vt:lpstr>UIBC</vt:lpstr>
      <vt:lpstr>Sodium</vt:lpstr>
      <vt:lpstr>Potassium</vt:lpstr>
      <vt:lpstr>Chloride</vt:lpstr>
      <vt:lpstr>Bicarbonate</vt:lpstr>
      <vt:lpstr>FINAL DATA 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Sudha</dc:creator>
  <cp:lastModifiedBy>Deepthi Sudha</cp:lastModifiedBy>
  <dcterms:created xsi:type="dcterms:W3CDTF">2026-06-08T03:42:57Z</dcterms:created>
  <dcterms:modified xsi:type="dcterms:W3CDTF">2026-07-05T10:00:03Z</dcterms:modified>
</cp:coreProperties>
</file>