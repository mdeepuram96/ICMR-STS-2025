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a9050fb10deded/Documents/"/>
    </mc:Choice>
  </mc:AlternateContent>
  <xr:revisionPtr revIDLastSave="0" documentId="8_{99FE95EA-FB4F-FA47-B3D5-ECE7C9D26982}" xr6:coauthVersionLast="47" xr6:coauthVersionMax="47" xr10:uidLastSave="{00000000-0000-0000-0000-000000000000}"/>
  <bookViews>
    <workbookView xWindow="0" yWindow="0" windowWidth="28160" windowHeight="17620" xr2:uid="{5D035D99-1CE5-2B4B-B46E-727C060AEF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4" i="1"/>
</calcChain>
</file>

<file path=xl/sharedStrings.xml><?xml version="1.0" encoding="utf-8"?>
<sst xmlns="http://schemas.openxmlformats.org/spreadsheetml/2006/main" count="34" uniqueCount="34">
  <si>
    <t>Analyte</t>
  </si>
  <si>
    <t>CVI (within subject BV)</t>
  </si>
  <si>
    <t>CVG (between subject BV)</t>
  </si>
  <si>
    <t>Glucose</t>
  </si>
  <si>
    <t>Urea</t>
  </si>
  <si>
    <t>Creatinine</t>
  </si>
  <si>
    <t>Cholesterol</t>
  </si>
  <si>
    <t>Trigyceride</t>
  </si>
  <si>
    <t>High Denisty Lipoprotrin</t>
  </si>
  <si>
    <t>Total Protein</t>
  </si>
  <si>
    <t>Albumin</t>
  </si>
  <si>
    <t>Total Bilirubin</t>
  </si>
  <si>
    <t>Direct Bilirubin</t>
  </si>
  <si>
    <t>Aspartate Transaminase</t>
  </si>
  <si>
    <t>Alanine Transaminase</t>
  </si>
  <si>
    <t>Gamma Glutamayl Transferase</t>
  </si>
  <si>
    <t>Calcium</t>
  </si>
  <si>
    <t>Phosphorus</t>
  </si>
  <si>
    <t>Uric acid</t>
  </si>
  <si>
    <t>Magnesium</t>
  </si>
  <si>
    <t>Amylase</t>
  </si>
  <si>
    <t>Lipase</t>
  </si>
  <si>
    <t>Creatine phosphokinase</t>
  </si>
  <si>
    <t>Lactate Dehydrogenase</t>
  </si>
  <si>
    <t>Iron</t>
  </si>
  <si>
    <t>Unsaturated Iron binding Capacity</t>
  </si>
  <si>
    <t>Sodium</t>
  </si>
  <si>
    <t>Potassium</t>
  </si>
  <si>
    <t>Chloride</t>
  </si>
  <si>
    <t>Bicarbonate</t>
  </si>
  <si>
    <t>CVA (allowable imprecision)</t>
  </si>
  <si>
    <t>allowable bias</t>
  </si>
  <si>
    <t>allowable bias uncertainity</t>
  </si>
  <si>
    <t>allowable 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</si>
</sst>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Aptos Narrow"/>
    </font>
    <font>
      <sz val="1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0" fontId="2" fillId="0" borderId="0" xfId="0" applyFont="1" applyFill="1"/>
    <xf numFmtId="0" fontId="0" fillId="3" borderId="1" xfId="0" applyFill="1" applyBorder="1"/>
    <xf numFmtId="0" fontId="0" fillId="2" borderId="2" xfId="0" applyFill="1" applyBorder="1"/>
    <xf numFmtId="0" fontId="0" fillId="0" borderId="2" xfId="0" applyBorder="1"/>
    <xf numFmtId="0" fontId="1" fillId="4" borderId="1" xfId="0" applyFont="1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E32E-D30A-9A44-905A-5DCE40949131}">
  <dimension ref="A3:G30"/>
  <sheetViews>
    <sheetView tabSelected="1" workbookViewId="0">
      <selection activeCell="J7" sqref="J7"/>
    </sheetView>
  </sheetViews>
  <sheetFormatPr baseColWidth="10" defaultRowHeight="16" x14ac:dyDescent="0.2"/>
  <cols>
    <col min="1" max="1" width="26.1640625" customWidth="1"/>
    <col min="2" max="2" width="19.6640625" customWidth="1"/>
    <col min="3" max="3" width="22.5" customWidth="1"/>
    <col min="4" max="4" width="23.83203125" customWidth="1"/>
    <col min="5" max="5" width="15.1640625" customWidth="1"/>
    <col min="6" max="6" width="23.5" customWidth="1"/>
    <col min="7" max="7" width="15.5" customWidth="1"/>
  </cols>
  <sheetData>
    <row r="3" spans="1:7" x14ac:dyDescent="0.2">
      <c r="A3" s="1" t="s">
        <v>0</v>
      </c>
      <c r="B3" s="1" t="s">
        <v>1</v>
      </c>
      <c r="C3" s="6" t="s">
        <v>2</v>
      </c>
      <c r="D3" s="1" t="s">
        <v>30</v>
      </c>
      <c r="E3" s="1" t="s">
        <v>31</v>
      </c>
      <c r="F3" s="1" t="s">
        <v>32</v>
      </c>
      <c r="G3" s="1" t="s">
        <v>33</v>
      </c>
    </row>
    <row r="4" spans="1:7" x14ac:dyDescent="0.2">
      <c r="A4" s="2" t="s">
        <v>3</v>
      </c>
      <c r="B4" s="2">
        <v>4.7</v>
      </c>
      <c r="C4" s="7">
        <v>8</v>
      </c>
      <c r="D4" s="5">
        <f>0.75*B4</f>
        <v>3.5250000000000004</v>
      </c>
      <c r="E4" s="2">
        <f>0.375*SQRT(B4^2+C4^2)</f>
        <v>3.4794261380290861</v>
      </c>
      <c r="F4" s="5">
        <f>0.5*E4</f>
        <v>1.739713069014543</v>
      </c>
      <c r="G4" s="2">
        <f>2*SQRT(D4^2+F4^2)</f>
        <v>7.8618640442327674</v>
      </c>
    </row>
    <row r="5" spans="1:7" x14ac:dyDescent="0.2">
      <c r="A5" s="3" t="s">
        <v>4</v>
      </c>
      <c r="B5" s="2">
        <v>13.1</v>
      </c>
      <c r="C5" s="7">
        <v>20.3</v>
      </c>
      <c r="D5" s="5">
        <f t="shared" ref="D5:D30" si="0">0.75*B5</f>
        <v>9.8249999999999993</v>
      </c>
      <c r="E5" s="2">
        <f t="shared" ref="E5:E30" si="1">0.375*SQRT(B5^2+C5^2)</f>
        <v>9.0599565396308606</v>
      </c>
      <c r="F5" s="5">
        <f t="shared" ref="F5:F30" si="2">0.5*E5</f>
        <v>4.5299782698154303</v>
      </c>
      <c r="G5" s="2">
        <f t="shared" ref="G5:G30" si="3">2*SQRT(D5^2+F5^2)</f>
        <v>21.638052419291341</v>
      </c>
    </row>
    <row r="6" spans="1:7" x14ac:dyDescent="0.2">
      <c r="A6" s="3" t="s">
        <v>5</v>
      </c>
      <c r="B6" s="2">
        <v>4.4000000000000004</v>
      </c>
      <c r="C6" s="7">
        <v>15.8</v>
      </c>
      <c r="D6" s="5">
        <f t="shared" si="0"/>
        <v>3.3000000000000003</v>
      </c>
      <c r="E6" s="2">
        <f t="shared" si="1"/>
        <v>6.1504573000712721</v>
      </c>
      <c r="F6" s="5">
        <f t="shared" si="2"/>
        <v>3.0752286500356361</v>
      </c>
      <c r="G6" s="2">
        <f t="shared" si="3"/>
        <v>9.0215367316217261</v>
      </c>
    </row>
    <row r="7" spans="1:7" x14ac:dyDescent="0.2">
      <c r="A7" s="3" t="s">
        <v>6</v>
      </c>
      <c r="B7" s="2">
        <v>5.4</v>
      </c>
      <c r="C7" s="7">
        <v>15.8</v>
      </c>
      <c r="D7" s="5">
        <f t="shared" si="0"/>
        <v>4.0500000000000007</v>
      </c>
      <c r="E7" s="2">
        <f t="shared" si="1"/>
        <v>6.2614894394225402</v>
      </c>
      <c r="F7" s="5">
        <f t="shared" si="2"/>
        <v>3.1307447197112701</v>
      </c>
      <c r="G7" s="2">
        <f t="shared" si="3"/>
        <v>10.237980757942458</v>
      </c>
    </row>
    <row r="8" spans="1:7" x14ac:dyDescent="0.2">
      <c r="A8" s="3" t="s">
        <v>7</v>
      </c>
      <c r="B8" s="2">
        <v>19.8</v>
      </c>
      <c r="C8" s="7">
        <v>35.299999999999997</v>
      </c>
      <c r="D8" s="5">
        <f t="shared" si="0"/>
        <v>14.850000000000001</v>
      </c>
      <c r="E8" s="2">
        <f t="shared" si="1"/>
        <v>15.177682011756604</v>
      </c>
      <c r="F8" s="5">
        <f t="shared" si="2"/>
        <v>7.5888410058783018</v>
      </c>
      <c r="G8" s="2">
        <f t="shared" si="3"/>
        <v>33.353441070600198</v>
      </c>
    </row>
    <row r="9" spans="1:7" x14ac:dyDescent="0.2">
      <c r="A9" s="3" t="s">
        <v>8</v>
      </c>
      <c r="B9" s="2">
        <v>5.7</v>
      </c>
      <c r="C9" s="7">
        <v>22.8</v>
      </c>
      <c r="D9" s="5">
        <f t="shared" si="0"/>
        <v>4.2750000000000004</v>
      </c>
      <c r="E9" s="2">
        <f t="shared" si="1"/>
        <v>8.8131382747577494</v>
      </c>
      <c r="F9" s="5">
        <f t="shared" si="2"/>
        <v>4.4065691373788747</v>
      </c>
      <c r="G9" s="2">
        <f t="shared" si="3"/>
        <v>12.279002656975036</v>
      </c>
    </row>
    <row r="10" spans="1:7" x14ac:dyDescent="0.2">
      <c r="A10" s="3" t="s">
        <v>9</v>
      </c>
      <c r="B10" s="2">
        <v>2.6</v>
      </c>
      <c r="C10" s="7">
        <v>4.4000000000000004</v>
      </c>
      <c r="D10" s="5">
        <f t="shared" si="0"/>
        <v>1.9500000000000002</v>
      </c>
      <c r="E10" s="2">
        <f t="shared" si="1"/>
        <v>1.9165398508770957</v>
      </c>
      <c r="F10" s="5">
        <f t="shared" si="2"/>
        <v>0.95826992543854783</v>
      </c>
      <c r="G10" s="2">
        <f t="shared" si="3"/>
        <v>4.3454717810612928</v>
      </c>
    </row>
    <row r="11" spans="1:7" s="11" customFormat="1" x14ac:dyDescent="0.2">
      <c r="A11" s="8" t="s">
        <v>10</v>
      </c>
      <c r="B11" s="9">
        <v>2.5</v>
      </c>
      <c r="C11" s="10">
        <v>4.3</v>
      </c>
      <c r="D11" s="9">
        <f t="shared" si="0"/>
        <v>1.875</v>
      </c>
      <c r="E11" s="9">
        <f t="shared" si="1"/>
        <v>1.8652245173168831</v>
      </c>
      <c r="F11" s="9">
        <f t="shared" si="2"/>
        <v>0.93261225865844155</v>
      </c>
      <c r="G11" s="9">
        <f t="shared" si="3"/>
        <v>4.188264855521914</v>
      </c>
    </row>
    <row r="12" spans="1:7" x14ac:dyDescent="0.2">
      <c r="A12" s="3" t="s">
        <v>11</v>
      </c>
      <c r="B12" s="2">
        <v>20.2</v>
      </c>
      <c r="C12" s="7">
        <v>24.9</v>
      </c>
      <c r="D12" s="5">
        <f t="shared" si="0"/>
        <v>15.149999999999999</v>
      </c>
      <c r="E12" s="2">
        <f t="shared" si="1"/>
        <v>12.02370705107206</v>
      </c>
      <c r="F12" s="5">
        <f t="shared" si="2"/>
        <v>6.0118535255360301</v>
      </c>
      <c r="G12" s="2">
        <f t="shared" si="3"/>
        <v>32.598459031831545</v>
      </c>
    </row>
    <row r="13" spans="1:7" x14ac:dyDescent="0.2">
      <c r="A13" s="3" t="s">
        <v>12</v>
      </c>
      <c r="B13" s="2">
        <v>19.5</v>
      </c>
      <c r="C13" s="7">
        <v>21.9</v>
      </c>
      <c r="D13" s="5">
        <f t="shared" si="0"/>
        <v>14.625</v>
      </c>
      <c r="E13" s="2">
        <f t="shared" si="1"/>
        <v>10.996263569958661</v>
      </c>
      <c r="F13" s="5">
        <f t="shared" si="2"/>
        <v>5.4981317849793303</v>
      </c>
      <c r="G13" s="2">
        <f t="shared" si="3"/>
        <v>31.248684972331237</v>
      </c>
    </row>
    <row r="14" spans="1:7" x14ac:dyDescent="0.2">
      <c r="A14" s="3" t="s">
        <v>13</v>
      </c>
      <c r="B14" s="2">
        <v>8.6</v>
      </c>
      <c r="C14" s="7">
        <v>19.600000000000001</v>
      </c>
      <c r="D14" s="5">
        <f t="shared" si="0"/>
        <v>6.4499999999999993</v>
      </c>
      <c r="E14" s="2">
        <f t="shared" si="1"/>
        <v>8.0264017467355817</v>
      </c>
      <c r="F14" s="5">
        <f t="shared" si="2"/>
        <v>4.0132008733677909</v>
      </c>
      <c r="G14" s="2">
        <f t="shared" si="3"/>
        <v>15.193193377298927</v>
      </c>
    </row>
    <row r="15" spans="1:7" x14ac:dyDescent="0.2">
      <c r="A15" s="3" t="s">
        <v>14</v>
      </c>
      <c r="B15" s="2">
        <v>12.6</v>
      </c>
      <c r="C15" s="7">
        <v>30</v>
      </c>
      <c r="D15" s="5">
        <f t="shared" si="0"/>
        <v>9.4499999999999993</v>
      </c>
      <c r="E15" s="2">
        <f t="shared" si="1"/>
        <v>12.201972176660622</v>
      </c>
      <c r="F15" s="5">
        <f t="shared" si="2"/>
        <v>6.1009860883303109</v>
      </c>
      <c r="G15" s="2">
        <f t="shared" si="3"/>
        <v>22.496624746837021</v>
      </c>
    </row>
    <row r="16" spans="1:7" x14ac:dyDescent="0.2">
      <c r="A16" s="3" t="s">
        <v>15</v>
      </c>
      <c r="B16" s="4">
        <v>8.3000000000000007</v>
      </c>
      <c r="C16" s="4">
        <v>45.1</v>
      </c>
      <c r="D16" s="5">
        <f t="shared" si="0"/>
        <v>6.2250000000000005</v>
      </c>
      <c r="E16" s="2">
        <f t="shared" si="1"/>
        <v>17.196520360235674</v>
      </c>
      <c r="F16" s="5">
        <f t="shared" si="2"/>
        <v>8.5982601801178369</v>
      </c>
      <c r="G16" s="2">
        <f t="shared" si="3"/>
        <v>21.230233453732914</v>
      </c>
    </row>
    <row r="17" spans="1:7" x14ac:dyDescent="0.2">
      <c r="A17" s="3" t="s">
        <v>16</v>
      </c>
      <c r="B17" s="2">
        <v>1.8</v>
      </c>
      <c r="C17" s="7">
        <v>2.2000000000000002</v>
      </c>
      <c r="D17" s="5">
        <f t="shared" si="0"/>
        <v>1.35</v>
      </c>
      <c r="E17" s="2">
        <f t="shared" si="1"/>
        <v>1.0659502802663923</v>
      </c>
      <c r="F17" s="5">
        <f t="shared" si="2"/>
        <v>0.53297514013319613</v>
      </c>
      <c r="G17" s="2">
        <f t="shared" si="3"/>
        <v>2.9028003720545446</v>
      </c>
    </row>
    <row r="18" spans="1:7" x14ac:dyDescent="0.2">
      <c r="A18" s="3" t="s">
        <v>17</v>
      </c>
      <c r="B18" s="2">
        <v>7.7</v>
      </c>
      <c r="C18" s="7">
        <v>10.7</v>
      </c>
      <c r="D18" s="5">
        <f t="shared" si="0"/>
        <v>5.7750000000000004</v>
      </c>
      <c r="E18" s="2">
        <f t="shared" si="1"/>
        <v>4.9434615908288393</v>
      </c>
      <c r="F18" s="5">
        <f t="shared" si="2"/>
        <v>2.4717307954144196</v>
      </c>
      <c r="G18" s="2">
        <f t="shared" si="3"/>
        <v>12.563451456506687</v>
      </c>
    </row>
    <row r="19" spans="1:7" x14ac:dyDescent="0.2">
      <c r="A19" s="3" t="s">
        <v>18</v>
      </c>
      <c r="B19" s="2">
        <v>8.3000000000000007</v>
      </c>
      <c r="C19" s="7">
        <v>20.9</v>
      </c>
      <c r="D19" s="5">
        <f t="shared" si="0"/>
        <v>6.2250000000000005</v>
      </c>
      <c r="E19" s="2">
        <f t="shared" si="1"/>
        <v>8.4329154211340214</v>
      </c>
      <c r="F19" s="5">
        <f t="shared" si="2"/>
        <v>4.2164577105670107</v>
      </c>
      <c r="G19" s="2">
        <f t="shared" si="3"/>
        <v>15.037172689704672</v>
      </c>
    </row>
    <row r="20" spans="1:7" x14ac:dyDescent="0.2">
      <c r="A20" s="3" t="s">
        <v>19</v>
      </c>
      <c r="B20" s="2">
        <v>2.7</v>
      </c>
      <c r="C20" s="7">
        <v>5.9</v>
      </c>
      <c r="D20" s="5">
        <f t="shared" si="0"/>
        <v>2.0250000000000004</v>
      </c>
      <c r="E20" s="2">
        <f t="shared" si="1"/>
        <v>2.4331692296262499</v>
      </c>
      <c r="F20" s="5">
        <f t="shared" si="2"/>
        <v>1.216584614813125</v>
      </c>
      <c r="G20" s="2">
        <f t="shared" si="3"/>
        <v>4.7247023715785534</v>
      </c>
    </row>
    <row r="21" spans="1:7" x14ac:dyDescent="0.2">
      <c r="A21" s="3" t="s">
        <v>20</v>
      </c>
      <c r="B21" s="2">
        <v>6.7</v>
      </c>
      <c r="C21" s="7">
        <v>29.4</v>
      </c>
      <c r="D21" s="5">
        <f t="shared" si="0"/>
        <v>5.0250000000000004</v>
      </c>
      <c r="E21" s="2">
        <f t="shared" si="1"/>
        <v>11.307664712485952</v>
      </c>
      <c r="F21" s="5">
        <f t="shared" si="2"/>
        <v>5.653832356242976</v>
      </c>
      <c r="G21" s="2">
        <f t="shared" si="3"/>
        <v>15.128310588099387</v>
      </c>
    </row>
    <row r="22" spans="1:7" x14ac:dyDescent="0.2">
      <c r="A22" s="3" t="s">
        <v>21</v>
      </c>
      <c r="B22" s="2">
        <v>7.6</v>
      </c>
      <c r="C22" s="7">
        <v>24</v>
      </c>
      <c r="D22" s="5">
        <f t="shared" si="0"/>
        <v>5.6999999999999993</v>
      </c>
      <c r="E22" s="2">
        <f t="shared" si="1"/>
        <v>9.4404713865357373</v>
      </c>
      <c r="F22" s="5">
        <f t="shared" si="2"/>
        <v>4.7202356932678686</v>
      </c>
      <c r="G22" s="2">
        <f t="shared" si="3"/>
        <v>14.801435741170517</v>
      </c>
    </row>
    <row r="23" spans="1:7" x14ac:dyDescent="0.2">
      <c r="A23" s="3" t="s">
        <v>22</v>
      </c>
      <c r="B23" s="2">
        <v>14.1</v>
      </c>
      <c r="C23" s="7">
        <v>32.9</v>
      </c>
      <c r="D23" s="5">
        <f t="shared" si="0"/>
        <v>10.574999999999999</v>
      </c>
      <c r="E23" s="2">
        <f t="shared" si="1"/>
        <v>13.422800099085137</v>
      </c>
      <c r="F23" s="5">
        <f t="shared" si="2"/>
        <v>6.7114000495425685</v>
      </c>
      <c r="G23" s="2">
        <f t="shared" si="3"/>
        <v>25.049831586260215</v>
      </c>
    </row>
    <row r="24" spans="1:7" x14ac:dyDescent="0.2">
      <c r="A24" s="3" t="s">
        <v>23</v>
      </c>
      <c r="B24" s="2">
        <v>4.4000000000000004</v>
      </c>
      <c r="C24" s="7">
        <v>11.8</v>
      </c>
      <c r="D24" s="5">
        <f t="shared" si="0"/>
        <v>3.3000000000000003</v>
      </c>
      <c r="E24" s="2">
        <f t="shared" si="1"/>
        <v>4.7226184474293502</v>
      </c>
      <c r="F24" s="5">
        <f t="shared" si="2"/>
        <v>2.3613092237146751</v>
      </c>
      <c r="G24" s="2">
        <f t="shared" si="3"/>
        <v>8.1156099585921453</v>
      </c>
    </row>
    <row r="25" spans="1:7" x14ac:dyDescent="0.2">
      <c r="A25" s="3" t="s">
        <v>24</v>
      </c>
      <c r="B25" s="2">
        <v>25.2</v>
      </c>
      <c r="C25" s="7">
        <v>28</v>
      </c>
      <c r="D25" s="5">
        <f t="shared" si="0"/>
        <v>18.899999999999999</v>
      </c>
      <c r="E25" s="2">
        <f t="shared" si="1"/>
        <v>14.126305249427396</v>
      </c>
      <c r="F25" s="5">
        <f t="shared" si="2"/>
        <v>7.0631526247136982</v>
      </c>
      <c r="G25" s="2">
        <f t="shared" si="3"/>
        <v>40.353345586208832</v>
      </c>
    </row>
    <row r="26" spans="1:7" x14ac:dyDescent="0.2">
      <c r="A26" s="3" t="s">
        <v>25</v>
      </c>
      <c r="B26" s="2"/>
      <c r="C26" s="7"/>
      <c r="D26" s="5">
        <f t="shared" si="0"/>
        <v>0</v>
      </c>
      <c r="E26" s="2">
        <f t="shared" si="1"/>
        <v>0</v>
      </c>
      <c r="F26" s="5">
        <f t="shared" si="2"/>
        <v>0</v>
      </c>
      <c r="G26" s="2">
        <f t="shared" si="3"/>
        <v>0</v>
      </c>
    </row>
    <row r="27" spans="1:7" s="11" customFormat="1" x14ac:dyDescent="0.2">
      <c r="A27" s="8" t="s">
        <v>26</v>
      </c>
      <c r="B27" s="9">
        <v>0.5</v>
      </c>
      <c r="C27" s="10">
        <v>0.8</v>
      </c>
      <c r="D27" s="9">
        <f t="shared" si="0"/>
        <v>0.375</v>
      </c>
      <c r="E27" s="9">
        <f t="shared" si="1"/>
        <v>0.35377429245212266</v>
      </c>
      <c r="F27" s="9">
        <f t="shared" si="2"/>
        <v>0.17688714622606133</v>
      </c>
      <c r="G27" s="9">
        <f t="shared" si="3"/>
        <v>0.82925041453109938</v>
      </c>
    </row>
    <row r="28" spans="1:7" x14ac:dyDescent="0.2">
      <c r="A28" s="3" t="s">
        <v>27</v>
      </c>
      <c r="B28" s="2">
        <v>3.9</v>
      </c>
      <c r="C28" s="7">
        <v>5.5</v>
      </c>
      <c r="D28" s="5">
        <f t="shared" si="0"/>
        <v>2.9249999999999998</v>
      </c>
      <c r="E28" s="2">
        <f t="shared" si="1"/>
        <v>2.5284011746556363</v>
      </c>
      <c r="F28" s="5">
        <f t="shared" si="2"/>
        <v>1.2642005873278181</v>
      </c>
      <c r="G28" s="2">
        <f t="shared" si="3"/>
        <v>6.3730143966572053</v>
      </c>
    </row>
    <row r="29" spans="1:7" x14ac:dyDescent="0.2">
      <c r="A29" s="3" t="s">
        <v>28</v>
      </c>
      <c r="B29" s="2">
        <v>1</v>
      </c>
      <c r="C29" s="7">
        <v>1.3</v>
      </c>
      <c r="D29" s="5">
        <f t="shared" si="0"/>
        <v>0.75</v>
      </c>
      <c r="E29" s="2">
        <f t="shared" si="1"/>
        <v>0.61504573000712726</v>
      </c>
      <c r="F29" s="5">
        <f t="shared" si="2"/>
        <v>0.30752286500356363</v>
      </c>
      <c r="G29" s="2">
        <f t="shared" si="3"/>
        <v>1.6211974740912964</v>
      </c>
    </row>
    <row r="30" spans="1:7" s="11" customFormat="1" x14ac:dyDescent="0.2">
      <c r="A30" s="8" t="s">
        <v>29</v>
      </c>
      <c r="B30" s="9">
        <v>4.2</v>
      </c>
      <c r="C30" s="10">
        <v>4.4000000000000004</v>
      </c>
      <c r="D30" s="9">
        <f t="shared" si="0"/>
        <v>3.1500000000000004</v>
      </c>
      <c r="E30" s="9">
        <f t="shared" si="1"/>
        <v>2.2810359488618324</v>
      </c>
      <c r="F30" s="9">
        <f t="shared" si="2"/>
        <v>1.1405179744309162</v>
      </c>
      <c r="G30" s="9">
        <f t="shared" si="3"/>
        <v>6.7002332048966782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Deepthi Sudha</dc:creator>
  <cp:lastModifiedBy>Deepthi Sudha</cp:lastModifiedBy>
  <dcterms:created xsi:type="dcterms:W3CDTF">2026-07-05T07:03:28Z</dcterms:created>
  <dcterms:modified xsi:type="dcterms:W3CDTF">2026-07-05T10:02:43Z</dcterms:modified>
</cp:coreProperties>
</file>