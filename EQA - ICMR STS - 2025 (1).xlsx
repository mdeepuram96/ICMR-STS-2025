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31"/>
  <workbookPr/>
  <mc:AlternateContent xmlns:mc="http://schemas.openxmlformats.org/markup-compatibility/2006">
    <mc:Choice Requires="x15">
      <x15ac:absPath xmlns:x15ac="http://schemas.microsoft.com/office/spreadsheetml/2010/11/ac" url="/Users/deepthisudham/Downloads/"/>
    </mc:Choice>
  </mc:AlternateContent>
  <xr:revisionPtr revIDLastSave="0" documentId="13_ncr:1_{11FEF9E3-A0C5-9048-9540-AFE4051BD997}" xr6:coauthVersionLast="47" xr6:coauthVersionMax="47" xr10:uidLastSave="{00000000-0000-0000-0000-000000000000}"/>
  <bookViews>
    <workbookView xWindow="0" yWindow="600" windowWidth="14100" windowHeight="15220" firstSheet="17" activeTab="18" xr2:uid="{00000000-000D-0000-FFFF-FFFF00000000}"/>
  </bookViews>
  <sheets>
    <sheet name="urea" sheetId="2" r:id="rId1"/>
    <sheet name="Glucose" sheetId="1" r:id="rId2"/>
    <sheet name="creatinine" sheetId="3" r:id="rId3"/>
    <sheet name="TGL" sheetId="5" r:id="rId4"/>
    <sheet name="cholesterol" sheetId="4" r:id="rId5"/>
    <sheet name="HDL" sheetId="6" r:id="rId6"/>
    <sheet name="T.Protein" sheetId="7" r:id="rId7"/>
    <sheet name="Albumin" sheetId="8" r:id="rId8"/>
    <sheet name="TBIL" sheetId="9" r:id="rId9"/>
    <sheet name="DBIL" sheetId="10" r:id="rId10"/>
    <sheet name="GGT" sheetId="13" r:id="rId11"/>
    <sheet name="AST" sheetId="11" r:id="rId12"/>
    <sheet name="Calcium" sheetId="14" r:id="rId13"/>
    <sheet name="ALT" sheetId="12" r:id="rId14"/>
    <sheet name="Phosphorus" sheetId="15" r:id="rId15"/>
    <sheet name="Magnesium" sheetId="17" r:id="rId16"/>
    <sheet name="Uric acid" sheetId="16" r:id="rId17"/>
    <sheet name="Amylase" sheetId="18" r:id="rId18"/>
    <sheet name="UIBC" sheetId="23" r:id="rId19"/>
    <sheet name="Potassium" sheetId="25" r:id="rId20"/>
    <sheet name="Lipase" sheetId="19" r:id="rId21"/>
    <sheet name="CPK" sheetId="20" r:id="rId22"/>
    <sheet name="LDH" sheetId="21" r:id="rId23"/>
    <sheet name="Iron" sheetId="22" r:id="rId24"/>
    <sheet name="Chloride" sheetId="26" r:id="rId25"/>
    <sheet name="Sodium" sheetId="24" r:id="rId26"/>
    <sheet name="Bicarbonate" sheetId="27" r:id="rId2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27" l="1"/>
  <c r="G8" i="27"/>
  <c r="G9" i="27"/>
  <c r="G10" i="27"/>
  <c r="G11" i="27"/>
  <c r="G12" i="27"/>
  <c r="G13" i="27"/>
  <c r="G14" i="27"/>
  <c r="G15" i="27"/>
  <c r="G16" i="27"/>
  <c r="G17" i="27"/>
  <c r="G6" i="27"/>
  <c r="G7" i="24"/>
  <c r="G8" i="24"/>
  <c r="G9" i="24"/>
  <c r="G10" i="24"/>
  <c r="G11" i="24"/>
  <c r="G12" i="24"/>
  <c r="G13" i="24"/>
  <c r="G14" i="24"/>
  <c r="G15" i="24"/>
  <c r="G16" i="24"/>
  <c r="G17" i="24"/>
  <c r="G6" i="24"/>
  <c r="G17" i="26"/>
  <c r="G7" i="26"/>
  <c r="G8" i="26"/>
  <c r="G9" i="26"/>
  <c r="G10" i="26"/>
  <c r="G11" i="26"/>
  <c r="G12" i="26"/>
  <c r="G13" i="26"/>
  <c r="G14" i="26"/>
  <c r="G15" i="26"/>
  <c r="G16" i="26"/>
  <c r="G6" i="26"/>
  <c r="G7" i="22"/>
  <c r="G8" i="22"/>
  <c r="G9" i="22"/>
  <c r="G10" i="22"/>
  <c r="G11" i="22"/>
  <c r="G12" i="22"/>
  <c r="G13" i="22"/>
  <c r="G14" i="22"/>
  <c r="G15" i="22"/>
  <c r="G16" i="22"/>
  <c r="G17" i="22"/>
  <c r="G6" i="22"/>
  <c r="G7" i="21"/>
  <c r="G8" i="21"/>
  <c r="G9" i="21"/>
  <c r="G10" i="21"/>
  <c r="G11" i="21"/>
  <c r="G12" i="21"/>
  <c r="G13" i="21"/>
  <c r="G14" i="21"/>
  <c r="G15" i="21"/>
  <c r="G16" i="21"/>
  <c r="G17" i="21"/>
  <c r="G6" i="21"/>
  <c r="G7" i="20"/>
  <c r="G8" i="20"/>
  <c r="G9" i="20"/>
  <c r="G10" i="20"/>
  <c r="G11" i="20"/>
  <c r="G12" i="20"/>
  <c r="G13" i="20"/>
  <c r="G14" i="20"/>
  <c r="G15" i="20"/>
  <c r="G16" i="20"/>
  <c r="G17" i="20"/>
  <c r="G6" i="20"/>
  <c r="G7" i="19"/>
  <c r="G8" i="19"/>
  <c r="G9" i="19"/>
  <c r="G10" i="19"/>
  <c r="G11" i="19"/>
  <c r="G12" i="19"/>
  <c r="G13" i="19"/>
  <c r="G14" i="19"/>
  <c r="G15" i="19"/>
  <c r="G16" i="19"/>
  <c r="G17" i="19"/>
  <c r="G6" i="19"/>
  <c r="G7" i="25"/>
  <c r="G8" i="25"/>
  <c r="G9" i="25"/>
  <c r="G10" i="25"/>
  <c r="G11" i="25"/>
  <c r="G12" i="25"/>
  <c r="G13" i="25"/>
  <c r="G14" i="25"/>
  <c r="G15" i="25"/>
  <c r="G16" i="25"/>
  <c r="G17" i="25"/>
  <c r="G6" i="25"/>
  <c r="G7" i="23"/>
  <c r="G8" i="23"/>
  <c r="G9" i="23"/>
  <c r="G10" i="23"/>
  <c r="G11" i="23"/>
  <c r="G12" i="23"/>
  <c r="G13" i="23"/>
  <c r="G14" i="23"/>
  <c r="G15" i="23"/>
  <c r="G16" i="23"/>
  <c r="G17" i="23"/>
  <c r="G6" i="23"/>
  <c r="G7" i="18"/>
  <c r="G8" i="18"/>
  <c r="G9" i="18"/>
  <c r="G10" i="18"/>
  <c r="G11" i="18"/>
  <c r="G12" i="18"/>
  <c r="G13" i="18"/>
  <c r="G14" i="18"/>
  <c r="G15" i="18"/>
  <c r="G16" i="18"/>
  <c r="G17" i="18"/>
  <c r="G6" i="18"/>
  <c r="G7" i="16"/>
  <c r="G8" i="16"/>
  <c r="G9" i="16"/>
  <c r="G10" i="16"/>
  <c r="G11" i="16"/>
  <c r="G12" i="16"/>
  <c r="G13" i="16"/>
  <c r="G14" i="16"/>
  <c r="G15" i="16"/>
  <c r="G16" i="16"/>
  <c r="G17" i="16"/>
  <c r="G6" i="16"/>
  <c r="G7" i="17"/>
  <c r="G8" i="17"/>
  <c r="G9" i="17"/>
  <c r="G10" i="17"/>
  <c r="G11" i="17"/>
  <c r="G12" i="17"/>
  <c r="G13" i="17"/>
  <c r="G14" i="17"/>
  <c r="G15" i="17"/>
  <c r="G16" i="17"/>
  <c r="G17" i="17"/>
  <c r="G6" i="17"/>
  <c r="G7" i="15"/>
  <c r="G8" i="15"/>
  <c r="G9" i="15"/>
  <c r="G10" i="15"/>
  <c r="G11" i="15"/>
  <c r="G12" i="15"/>
  <c r="G13" i="15"/>
  <c r="G14" i="15"/>
  <c r="G15" i="15"/>
  <c r="G16" i="15"/>
  <c r="G17" i="15"/>
  <c r="G6" i="15"/>
  <c r="G7" i="12"/>
  <c r="G8" i="12"/>
  <c r="G9" i="12"/>
  <c r="G10" i="12"/>
  <c r="G11" i="12"/>
  <c r="G12" i="12"/>
  <c r="G13" i="12"/>
  <c r="G14" i="12"/>
  <c r="G15" i="12"/>
  <c r="G16" i="12"/>
  <c r="G17" i="12"/>
  <c r="G6" i="12"/>
  <c r="G7" i="14"/>
  <c r="G8" i="14"/>
  <c r="G9" i="14"/>
  <c r="G10" i="14"/>
  <c r="G11" i="14"/>
  <c r="G12" i="14"/>
  <c r="G13" i="14"/>
  <c r="G14" i="14"/>
  <c r="G15" i="14"/>
  <c r="G16" i="14"/>
  <c r="G17" i="14"/>
  <c r="G6" i="14"/>
  <c r="G7" i="11"/>
  <c r="G8" i="11"/>
  <c r="G9" i="11"/>
  <c r="G10" i="11"/>
  <c r="G11" i="11"/>
  <c r="G12" i="11"/>
  <c r="G13" i="11"/>
  <c r="G14" i="11"/>
  <c r="G15" i="11"/>
  <c r="G16" i="11"/>
  <c r="G17" i="11"/>
  <c r="G6" i="11"/>
  <c r="G7" i="13"/>
  <c r="G8" i="13"/>
  <c r="G9" i="13"/>
  <c r="G10" i="13"/>
  <c r="G11" i="13"/>
  <c r="G12" i="13"/>
  <c r="G13" i="13"/>
  <c r="G14" i="13"/>
  <c r="G15" i="13"/>
  <c r="G16" i="13"/>
  <c r="G17" i="13"/>
  <c r="G6" i="13"/>
  <c r="G7" i="10"/>
  <c r="G8" i="10"/>
  <c r="G9" i="10"/>
  <c r="G10" i="10"/>
  <c r="G11" i="10"/>
  <c r="G12" i="10"/>
  <c r="G13" i="10"/>
  <c r="G14" i="10"/>
  <c r="G15" i="10"/>
  <c r="G16" i="10"/>
  <c r="G17" i="10"/>
  <c r="G6" i="10"/>
  <c r="G7" i="9"/>
  <c r="G8" i="9"/>
  <c r="G9" i="9"/>
  <c r="G10" i="9"/>
  <c r="G11" i="9"/>
  <c r="G12" i="9"/>
  <c r="G13" i="9"/>
  <c r="G14" i="9"/>
  <c r="G15" i="9"/>
  <c r="G16" i="9"/>
  <c r="G17" i="9"/>
  <c r="G6" i="9"/>
  <c r="G7" i="8"/>
  <c r="G8" i="8"/>
  <c r="G9" i="8"/>
  <c r="G10" i="8"/>
  <c r="G11" i="8"/>
  <c r="G12" i="8"/>
  <c r="G13" i="8"/>
  <c r="G14" i="8"/>
  <c r="G15" i="8"/>
  <c r="G16" i="8"/>
  <c r="G17" i="8"/>
  <c r="G6" i="8"/>
  <c r="G7" i="7"/>
  <c r="G8" i="7"/>
  <c r="G9" i="7"/>
  <c r="G10" i="7"/>
  <c r="G11" i="7"/>
  <c r="G12" i="7"/>
  <c r="G13" i="7"/>
  <c r="G14" i="7"/>
  <c r="G15" i="7"/>
  <c r="G16" i="7"/>
  <c r="G17" i="7"/>
  <c r="G6" i="7"/>
  <c r="G7" i="6"/>
  <c r="G8" i="6"/>
  <c r="G9" i="6"/>
  <c r="G10" i="6"/>
  <c r="G11" i="6"/>
  <c r="G12" i="6"/>
  <c r="G13" i="6"/>
  <c r="G14" i="6"/>
  <c r="G15" i="6"/>
  <c r="G16" i="6"/>
  <c r="G17" i="6"/>
  <c r="G6" i="6"/>
  <c r="G7" i="4"/>
  <c r="G8" i="4"/>
  <c r="G9" i="4"/>
  <c r="G10" i="4"/>
  <c r="G11" i="4"/>
  <c r="G12" i="4"/>
  <c r="G13" i="4"/>
  <c r="G14" i="4"/>
  <c r="G15" i="4"/>
  <c r="G16" i="4"/>
  <c r="G17" i="4"/>
  <c r="G6" i="4"/>
  <c r="G7" i="5"/>
  <c r="G8" i="5"/>
  <c r="G9" i="5"/>
  <c r="G10" i="5"/>
  <c r="G11" i="5"/>
  <c r="G12" i="5"/>
  <c r="G13" i="5"/>
  <c r="G14" i="5"/>
  <c r="G15" i="5"/>
  <c r="G16" i="5"/>
  <c r="G17" i="5"/>
  <c r="G6" i="5"/>
  <c r="G7" i="3"/>
  <c r="G8" i="3"/>
  <c r="G9" i="3"/>
  <c r="G10" i="3"/>
  <c r="G11" i="3"/>
  <c r="G12" i="3"/>
  <c r="G13" i="3"/>
  <c r="G14" i="3"/>
  <c r="G15" i="3"/>
  <c r="G16" i="3"/>
  <c r="G17" i="3"/>
  <c r="G6" i="3"/>
  <c r="G7" i="2"/>
  <c r="G8" i="2"/>
  <c r="G9" i="2"/>
  <c r="G10" i="2"/>
  <c r="G11" i="2"/>
  <c r="G12" i="2"/>
  <c r="G13" i="2"/>
  <c r="G14" i="2"/>
  <c r="G15" i="2"/>
  <c r="G16" i="2"/>
  <c r="G17" i="2"/>
  <c r="G6" i="2"/>
  <c r="G6" i="1"/>
  <c r="G7" i="1"/>
  <c r="G8" i="1"/>
  <c r="G9" i="1"/>
  <c r="G10" i="1"/>
  <c r="G11" i="1"/>
  <c r="G12" i="1"/>
  <c r="G13" i="1"/>
  <c r="G14" i="1"/>
  <c r="G15" i="1"/>
  <c r="G16" i="1"/>
  <c r="G17" i="1"/>
  <c r="E6" i="16"/>
  <c r="E6" i="7"/>
  <c r="E7" i="7"/>
  <c r="E7" i="22"/>
</calcChain>
</file>

<file path=xl/sharedStrings.xml><?xml version="1.0" encoding="utf-8"?>
<sst xmlns="http://schemas.openxmlformats.org/spreadsheetml/2006/main" count="216" uniqueCount="9">
  <si>
    <t>EQA BIORAD</t>
  </si>
  <si>
    <t>MONTH</t>
  </si>
  <si>
    <t>AV</t>
  </si>
  <si>
    <t>LAB VALUE</t>
  </si>
  <si>
    <t>SDPA</t>
  </si>
  <si>
    <t>z score</t>
  </si>
  <si>
    <t>U</t>
  </si>
  <si>
    <t>Bias %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</si>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</sst>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charset val="134"/>
      <scheme val="minor"/>
    </font>
    <font>
      <b/>
      <sz val="22"/>
      <color theme="1"/>
      <name val="Aptos Narrow"/>
      <scheme val="minor"/>
    </font>
    <font>
      <sz val="12"/>
      <color theme="1"/>
      <name val="Times New Roman"/>
      <family val="1"/>
    </font>
    <font>
      <b/>
      <sz val="2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3" borderId="1" xfId="0" applyFill="1" applyBorder="1"/>
    <xf numFmtId="0" fontId="2" fillId="3" borderId="1" xfId="0" applyFont="1" applyFill="1" applyBorder="1"/>
    <xf numFmtId="17" fontId="2" fillId="0" borderId="1" xfId="0" applyNumberFormat="1" applyFont="1" applyBorder="1"/>
    <xf numFmtId="0" fontId="2" fillId="0" borderId="1" xfId="0" applyFont="1" applyBorder="1"/>
    <xf numFmtId="0" fontId="2" fillId="0" borderId="0" xfId="0" applyFont="1"/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"/>
  <sheetViews>
    <sheetView workbookViewId="0">
      <selection activeCell="F6" sqref="F6:F17"/>
    </sheetView>
  </sheetViews>
  <sheetFormatPr baseColWidth="10" defaultColWidth="11" defaultRowHeight="16" x14ac:dyDescent="0.2"/>
  <sheetData>
    <row r="1" spans="1:8" x14ac:dyDescent="0.2">
      <c r="A1" s="5"/>
      <c r="B1" s="5"/>
      <c r="C1" s="5"/>
      <c r="D1" s="5"/>
      <c r="E1" s="5"/>
      <c r="F1" s="7" t="s">
        <v>0</v>
      </c>
      <c r="G1" s="7"/>
      <c r="H1" s="7"/>
    </row>
    <row r="2" spans="1:8" x14ac:dyDescent="0.2">
      <c r="A2" s="5"/>
      <c r="B2" s="5"/>
      <c r="C2" s="5"/>
      <c r="D2" s="5"/>
      <c r="E2" s="5"/>
      <c r="F2" s="7"/>
      <c r="G2" s="7"/>
      <c r="H2" s="7"/>
    </row>
    <row r="3" spans="1:8" x14ac:dyDescent="0.2">
      <c r="A3" s="5"/>
      <c r="B3" s="5"/>
      <c r="C3" s="5"/>
      <c r="D3" s="5"/>
      <c r="E3" s="5"/>
      <c r="F3" s="7"/>
      <c r="G3" s="7"/>
      <c r="H3" s="7"/>
    </row>
    <row r="4" spans="1:8" x14ac:dyDescent="0.2">
      <c r="A4" s="5"/>
      <c r="B4" s="5"/>
      <c r="C4" s="5"/>
      <c r="D4" s="5"/>
      <c r="E4" s="5"/>
      <c r="F4" s="5"/>
      <c r="G4" s="5"/>
      <c r="H4" s="5"/>
    </row>
    <row r="5" spans="1:8" x14ac:dyDescent="0.2">
      <c r="A5" s="2" t="s">
        <v>1</v>
      </c>
      <c r="B5" s="2" t="s">
        <v>2</v>
      </c>
      <c r="C5" s="2" t="s">
        <v>3</v>
      </c>
      <c r="D5" s="2" t="s">
        <v>8</v>
      </c>
      <c r="E5" s="2" t="s">
        <v>5</v>
      </c>
      <c r="F5" s="2" t="s">
        <v>6</v>
      </c>
      <c r="G5" s="2" t="s">
        <v>7</v>
      </c>
      <c r="H5" s="5"/>
    </row>
    <row r="6" spans="1:8" x14ac:dyDescent="0.2">
      <c r="A6" s="3">
        <v>45658</v>
      </c>
      <c r="B6" s="4">
        <v>164</v>
      </c>
      <c r="C6" s="4">
        <v>164</v>
      </c>
      <c r="D6" s="4">
        <v>5.05</v>
      </c>
      <c r="E6" s="4">
        <v>-0.01</v>
      </c>
      <c r="F6" s="4">
        <v>0.45500000000000002</v>
      </c>
      <c r="G6" s="4">
        <f>((C6-B6)/B6)*100</f>
        <v>0</v>
      </c>
      <c r="H6" s="5"/>
    </row>
    <row r="7" spans="1:8" x14ac:dyDescent="0.2">
      <c r="A7" s="3">
        <v>45689</v>
      </c>
      <c r="B7" s="4">
        <v>112</v>
      </c>
      <c r="C7" s="4">
        <v>108</v>
      </c>
      <c r="D7" s="4">
        <v>3.82</v>
      </c>
      <c r="E7" s="4">
        <v>-1.1399999999999999</v>
      </c>
      <c r="F7" s="4">
        <v>0.34699999999999998</v>
      </c>
      <c r="G7" s="4">
        <f t="shared" ref="G7:G17" si="0">((C7-B7)/B7)*100</f>
        <v>-3.5714285714285712</v>
      </c>
      <c r="H7" s="5"/>
    </row>
    <row r="8" spans="1:8" x14ac:dyDescent="0.2">
      <c r="A8" s="3">
        <v>45717</v>
      </c>
      <c r="B8" s="4">
        <v>52.7</v>
      </c>
      <c r="C8" s="4">
        <v>53</v>
      </c>
      <c r="D8" s="4">
        <v>1.64</v>
      </c>
      <c r="E8" s="4">
        <v>0.18</v>
      </c>
      <c r="F8" s="4">
        <v>0.15</v>
      </c>
      <c r="G8" s="4">
        <f t="shared" si="0"/>
        <v>0.56925996204933049</v>
      </c>
      <c r="H8" s="5"/>
    </row>
    <row r="9" spans="1:8" x14ac:dyDescent="0.2">
      <c r="A9" s="3">
        <v>45748</v>
      </c>
      <c r="B9" s="4">
        <v>165</v>
      </c>
      <c r="C9" s="4">
        <v>171</v>
      </c>
      <c r="D9" s="4">
        <v>5.27</v>
      </c>
      <c r="E9" s="4">
        <v>1.19</v>
      </c>
      <c r="F9" s="4">
        <v>0.48199999999999998</v>
      </c>
      <c r="G9" s="4">
        <f t="shared" si="0"/>
        <v>3.6363636363636362</v>
      </c>
      <c r="H9" s="5"/>
    </row>
    <row r="10" spans="1:8" x14ac:dyDescent="0.2">
      <c r="A10" s="3">
        <v>45778</v>
      </c>
      <c r="B10" s="4">
        <v>112</v>
      </c>
      <c r="C10" s="4">
        <v>114</v>
      </c>
      <c r="D10" s="4">
        <v>3.53</v>
      </c>
      <c r="E10" s="4">
        <v>0.43</v>
      </c>
      <c r="F10" s="4">
        <v>0.318</v>
      </c>
      <c r="G10" s="4">
        <f t="shared" si="0"/>
        <v>1.7857142857142856</v>
      </c>
      <c r="H10" s="5"/>
    </row>
    <row r="11" spans="1:8" x14ac:dyDescent="0.2">
      <c r="A11" s="3">
        <v>45809</v>
      </c>
      <c r="B11" s="4">
        <v>13</v>
      </c>
      <c r="C11" s="4">
        <v>13</v>
      </c>
      <c r="D11" s="4">
        <v>0.54100000000000004</v>
      </c>
      <c r="E11" s="4">
        <v>0.04</v>
      </c>
      <c r="F11" s="4">
        <v>4.8000000000000001E-2</v>
      </c>
      <c r="G11" s="4">
        <f t="shared" si="0"/>
        <v>0</v>
      </c>
      <c r="H11" s="5"/>
    </row>
    <row r="12" spans="1:8" x14ac:dyDescent="0.2">
      <c r="A12" s="3">
        <v>45839</v>
      </c>
      <c r="B12" s="4">
        <v>159</v>
      </c>
      <c r="C12" s="4">
        <v>162</v>
      </c>
      <c r="D12" s="4">
        <v>5.64</v>
      </c>
      <c r="E12" s="4">
        <v>0.52</v>
      </c>
      <c r="F12" s="4">
        <v>0.53300000000000003</v>
      </c>
      <c r="G12" s="4">
        <f t="shared" si="0"/>
        <v>1.8867924528301887</v>
      </c>
      <c r="H12" s="5"/>
    </row>
    <row r="13" spans="1:8" x14ac:dyDescent="0.2">
      <c r="A13" s="3">
        <v>45870</v>
      </c>
      <c r="B13" s="4">
        <v>50.9</v>
      </c>
      <c r="C13" s="4">
        <v>52</v>
      </c>
      <c r="D13" s="4">
        <v>1.82</v>
      </c>
      <c r="E13" s="4">
        <v>0.63</v>
      </c>
      <c r="F13" s="4">
        <v>0.16400000000000001</v>
      </c>
      <c r="G13" s="4">
        <f t="shared" si="0"/>
        <v>2.1611001964636571</v>
      </c>
      <c r="H13" s="5"/>
    </row>
    <row r="14" spans="1:8" x14ac:dyDescent="0.2">
      <c r="A14" s="3">
        <v>45901</v>
      </c>
      <c r="B14" s="4">
        <v>12.6</v>
      </c>
      <c r="C14" s="4">
        <v>12</v>
      </c>
      <c r="D14" s="4">
        <v>0.63100000000000001</v>
      </c>
      <c r="E14" s="4">
        <v>-0.94</v>
      </c>
      <c r="F14" s="4">
        <v>5.3999999999999999E-2</v>
      </c>
      <c r="G14" s="4">
        <f t="shared" si="0"/>
        <v>-4.7619047619047592</v>
      </c>
      <c r="H14" s="5"/>
    </row>
    <row r="15" spans="1:8" x14ac:dyDescent="0.2">
      <c r="A15" s="3">
        <v>45931</v>
      </c>
      <c r="B15" s="4">
        <v>109</v>
      </c>
      <c r="C15" s="4">
        <v>114</v>
      </c>
      <c r="D15" s="4">
        <v>3.81</v>
      </c>
      <c r="E15" s="4">
        <v>1.2</v>
      </c>
      <c r="F15" s="4">
        <v>0.33300000000000002</v>
      </c>
      <c r="G15" s="4">
        <f t="shared" si="0"/>
        <v>4.5871559633027523</v>
      </c>
      <c r="H15" s="5"/>
    </row>
    <row r="16" spans="1:8" x14ac:dyDescent="0.2">
      <c r="A16" s="3">
        <v>45962</v>
      </c>
      <c r="B16" s="4">
        <v>50.7</v>
      </c>
      <c r="C16" s="4">
        <v>50</v>
      </c>
      <c r="D16" s="4">
        <v>1.73</v>
      </c>
      <c r="E16" s="4">
        <v>-0.39</v>
      </c>
      <c r="F16" s="4">
        <v>0.151</v>
      </c>
      <c r="G16" s="4">
        <f t="shared" si="0"/>
        <v>-1.3806706114398477</v>
      </c>
      <c r="H16" s="5"/>
    </row>
    <row r="17" spans="1:8" x14ac:dyDescent="0.2">
      <c r="A17" s="3">
        <v>45992</v>
      </c>
      <c r="B17" s="4">
        <v>12.5</v>
      </c>
      <c r="C17" s="4">
        <v>12</v>
      </c>
      <c r="D17" s="4">
        <v>0.57999999999999996</v>
      </c>
      <c r="E17" s="4">
        <v>-0.93</v>
      </c>
      <c r="F17" s="4">
        <v>5.0999999999999997E-2</v>
      </c>
      <c r="G17" s="4">
        <f t="shared" si="0"/>
        <v>-4</v>
      </c>
      <c r="H17" s="5"/>
    </row>
  </sheetData>
  <mergeCells count="1">
    <mergeCell ref="F1: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workbookViewId="0">
      <selection activeCell="F6" sqref="F6:F17"/>
    </sheetView>
  </sheetViews>
  <sheetFormatPr baseColWidth="10" defaultColWidth="11" defaultRowHeight="16" x14ac:dyDescent="0.2"/>
  <sheetData>
    <row r="1" spans="1:9" x14ac:dyDescent="0.2">
      <c r="G1" s="6" t="s">
        <v>0</v>
      </c>
      <c r="H1" s="6"/>
      <c r="I1" s="6"/>
    </row>
    <row r="2" spans="1:9" x14ac:dyDescent="0.2">
      <c r="G2" s="6"/>
      <c r="H2" s="6"/>
      <c r="I2" s="6"/>
    </row>
    <row r="3" spans="1:9" x14ac:dyDescent="0.2">
      <c r="G3" s="6"/>
      <c r="H3" s="6"/>
      <c r="I3" s="6"/>
    </row>
    <row r="5" spans="1:9" x14ac:dyDescent="0.2">
      <c r="A5" s="2" t="s">
        <v>1</v>
      </c>
      <c r="B5" s="2" t="s">
        <v>2</v>
      </c>
      <c r="C5" s="2" t="s">
        <v>3</v>
      </c>
      <c r="D5" s="2" t="s">
        <v>8</v>
      </c>
      <c r="E5" s="2" t="s">
        <v>5</v>
      </c>
      <c r="F5" s="2" t="s">
        <v>6</v>
      </c>
      <c r="G5" s="2" t="s">
        <v>7</v>
      </c>
    </row>
    <row r="6" spans="1:9" x14ac:dyDescent="0.2">
      <c r="A6" s="3">
        <v>45658</v>
      </c>
      <c r="B6" s="4">
        <v>127</v>
      </c>
      <c r="C6" s="4">
        <v>124</v>
      </c>
      <c r="D6" s="4">
        <v>3.15</v>
      </c>
      <c r="E6" s="4">
        <v>-0.85</v>
      </c>
      <c r="F6" s="4">
        <v>0.247</v>
      </c>
      <c r="G6" s="4">
        <f>((C6-B6)/B6)*100</f>
        <v>-2.3622047244094486</v>
      </c>
    </row>
    <row r="7" spans="1:9" x14ac:dyDescent="0.2">
      <c r="A7" s="3">
        <v>45689</v>
      </c>
      <c r="B7" s="4">
        <v>591</v>
      </c>
      <c r="C7" s="4">
        <v>590</v>
      </c>
      <c r="D7" s="4">
        <v>13.6</v>
      </c>
      <c r="E7" s="4">
        <v>-0.1</v>
      </c>
      <c r="F7" s="4">
        <v>1.07</v>
      </c>
      <c r="G7" s="4">
        <f t="shared" ref="G7:G17" si="0">((C7-B7)/B7)*100</f>
        <v>-0.16920473773265651</v>
      </c>
    </row>
    <row r="8" spans="1:9" x14ac:dyDescent="0.2">
      <c r="A8" s="3">
        <v>45717</v>
      </c>
      <c r="B8" s="4">
        <v>55.8</v>
      </c>
      <c r="C8" s="4">
        <v>54</v>
      </c>
      <c r="D8" s="4">
        <v>1.44</v>
      </c>
      <c r="E8" s="4">
        <v>-1.25</v>
      </c>
      <c r="F8" s="4">
        <v>0.114</v>
      </c>
      <c r="G8" s="4">
        <f t="shared" si="0"/>
        <v>-3.2258064516128981</v>
      </c>
    </row>
    <row r="9" spans="1:9" x14ac:dyDescent="0.2">
      <c r="A9" s="3">
        <v>45748</v>
      </c>
      <c r="B9" s="4">
        <v>126</v>
      </c>
      <c r="C9" s="4">
        <v>126</v>
      </c>
      <c r="D9" s="4">
        <v>2.94</v>
      </c>
      <c r="E9" s="4">
        <v>-0.01</v>
      </c>
      <c r="F9" s="4">
        <v>0.23300000000000001</v>
      </c>
      <c r="G9" s="4">
        <f t="shared" si="0"/>
        <v>0</v>
      </c>
    </row>
    <row r="10" spans="1:9" x14ac:dyDescent="0.2">
      <c r="A10" s="3">
        <v>45778</v>
      </c>
      <c r="B10" s="4">
        <v>590</v>
      </c>
      <c r="C10" s="4">
        <v>580</v>
      </c>
      <c r="D10" s="4">
        <v>13.1</v>
      </c>
      <c r="E10" s="4">
        <v>-0.73</v>
      </c>
      <c r="F10" s="4">
        <v>1.03</v>
      </c>
      <c r="G10" s="4">
        <f t="shared" si="0"/>
        <v>-1.6949152542372881</v>
      </c>
    </row>
    <row r="11" spans="1:9" x14ac:dyDescent="0.2">
      <c r="A11" s="3">
        <v>45809</v>
      </c>
      <c r="B11" s="4">
        <v>30</v>
      </c>
      <c r="C11" s="4">
        <v>29</v>
      </c>
      <c r="D11" s="4">
        <v>0.95699999999999996</v>
      </c>
      <c r="E11" s="4">
        <v>-1.08</v>
      </c>
      <c r="F11" s="4">
        <v>7.3999999999999996E-2</v>
      </c>
      <c r="G11" s="4">
        <f t="shared" si="0"/>
        <v>-3.3333333333333335</v>
      </c>
    </row>
    <row r="12" spans="1:9" x14ac:dyDescent="0.2">
      <c r="A12" s="3">
        <v>45839</v>
      </c>
      <c r="B12" s="4">
        <v>22</v>
      </c>
      <c r="C12" s="4">
        <v>21</v>
      </c>
      <c r="D12" s="4">
        <v>0.80500000000000005</v>
      </c>
      <c r="E12" s="4">
        <v>-1.23</v>
      </c>
      <c r="F12" s="4">
        <v>6.8000000000000005E-2</v>
      </c>
      <c r="G12" s="4">
        <f t="shared" si="0"/>
        <v>-4.5454545454545459</v>
      </c>
    </row>
    <row r="13" spans="1:9" x14ac:dyDescent="0.2">
      <c r="A13" s="3">
        <v>45870</v>
      </c>
      <c r="B13" s="4">
        <v>105</v>
      </c>
      <c r="C13" s="4">
        <v>102</v>
      </c>
      <c r="D13" s="4">
        <v>2.88</v>
      </c>
      <c r="E13" s="4">
        <v>-1.05</v>
      </c>
      <c r="F13" s="4">
        <v>0.22700000000000001</v>
      </c>
      <c r="G13" s="4">
        <f t="shared" si="0"/>
        <v>-2.8571428571428572</v>
      </c>
    </row>
    <row r="14" spans="1:9" x14ac:dyDescent="0.2">
      <c r="A14" s="3">
        <v>45901</v>
      </c>
      <c r="B14" s="4">
        <v>135</v>
      </c>
      <c r="C14" s="4">
        <v>128</v>
      </c>
      <c r="D14" s="4">
        <v>3.52</v>
      </c>
      <c r="E14" s="4">
        <v>-1.88</v>
      </c>
      <c r="F14" s="4">
        <v>0.26600000000000001</v>
      </c>
      <c r="G14" s="4">
        <f t="shared" si="0"/>
        <v>-5.1851851851851851</v>
      </c>
    </row>
    <row r="15" spans="1:9" x14ac:dyDescent="0.2">
      <c r="A15" s="3">
        <v>45931</v>
      </c>
      <c r="B15" s="4">
        <v>597</v>
      </c>
      <c r="C15" s="4">
        <v>603</v>
      </c>
      <c r="D15" s="4">
        <v>14.6</v>
      </c>
      <c r="E15" s="4">
        <v>0.39</v>
      </c>
      <c r="F15" s="4">
        <v>1.1200000000000001</v>
      </c>
      <c r="G15" s="4">
        <f t="shared" si="0"/>
        <v>1.0050251256281406</v>
      </c>
    </row>
    <row r="16" spans="1:9" x14ac:dyDescent="0.2">
      <c r="A16" s="3">
        <v>45962</v>
      </c>
      <c r="B16" s="4">
        <v>105</v>
      </c>
      <c r="C16" s="4">
        <v>104</v>
      </c>
      <c r="D16" s="4">
        <v>2.64</v>
      </c>
      <c r="E16" s="4">
        <v>-0.22</v>
      </c>
      <c r="F16" s="4">
        <v>0.20300000000000001</v>
      </c>
      <c r="G16" s="4">
        <f t="shared" si="0"/>
        <v>-0.95238095238095244</v>
      </c>
    </row>
    <row r="17" spans="1:7" x14ac:dyDescent="0.2">
      <c r="A17" s="3">
        <v>45992</v>
      </c>
      <c r="B17" s="4">
        <v>135</v>
      </c>
      <c r="C17" s="4">
        <v>136</v>
      </c>
      <c r="D17" s="4">
        <v>3.18</v>
      </c>
      <c r="E17" s="4">
        <v>0.46</v>
      </c>
      <c r="F17" s="4">
        <v>0.24299999999999999</v>
      </c>
      <c r="G17" s="4">
        <f t="shared" si="0"/>
        <v>0.74074074074074081</v>
      </c>
    </row>
  </sheetData>
  <mergeCells count="1">
    <mergeCell ref="G1:I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8"/>
  <sheetViews>
    <sheetView topLeftCell="A3" zoomScaleNormal="141" workbookViewId="0">
      <selection activeCell="F6" sqref="F6:F17"/>
    </sheetView>
  </sheetViews>
  <sheetFormatPr baseColWidth="10" defaultColWidth="11" defaultRowHeight="16" x14ac:dyDescent="0.2"/>
  <sheetData>
    <row r="1" spans="1:8" x14ac:dyDescent="0.2">
      <c r="F1" s="6" t="s">
        <v>0</v>
      </c>
      <c r="G1" s="6"/>
      <c r="H1" s="6"/>
    </row>
    <row r="2" spans="1:8" x14ac:dyDescent="0.2">
      <c r="F2" s="6"/>
      <c r="G2" s="6"/>
      <c r="H2" s="6"/>
    </row>
    <row r="3" spans="1:8" x14ac:dyDescent="0.2">
      <c r="F3" s="6"/>
      <c r="G3" s="6"/>
      <c r="H3" s="6"/>
    </row>
    <row r="5" spans="1:8" x14ac:dyDescent="0.2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</row>
    <row r="6" spans="1:8" x14ac:dyDescent="0.2">
      <c r="A6" s="3">
        <v>45658</v>
      </c>
      <c r="B6" s="4">
        <v>1.05</v>
      </c>
      <c r="C6" s="4">
        <v>1.08</v>
      </c>
      <c r="D6" s="4">
        <v>7.9000000000000001E-2</v>
      </c>
      <c r="E6" s="4">
        <v>0.34</v>
      </c>
      <c r="F6" s="4">
        <v>7.0000000000000001E-3</v>
      </c>
      <c r="G6" s="4">
        <f>((C6-B6)/B6)*100</f>
        <v>2.8571428571428594</v>
      </c>
    </row>
    <row r="7" spans="1:8" x14ac:dyDescent="0.2">
      <c r="A7" s="3">
        <v>45689</v>
      </c>
      <c r="B7" s="4">
        <v>2.08</v>
      </c>
      <c r="C7" s="4">
        <v>2.11</v>
      </c>
      <c r="D7" s="4">
        <v>7.8E-2</v>
      </c>
      <c r="E7" s="4">
        <v>0.33</v>
      </c>
      <c r="F7" s="4">
        <v>7.0000000000000001E-3</v>
      </c>
      <c r="G7" s="4">
        <f t="shared" ref="G7:G17" si="0">((C7-B7)/B7)*100</f>
        <v>1.4423076923076827</v>
      </c>
    </row>
    <row r="8" spans="1:8" x14ac:dyDescent="0.2">
      <c r="A8" s="3">
        <v>45717</v>
      </c>
      <c r="B8" s="4">
        <v>6.52</v>
      </c>
      <c r="C8" s="4">
        <v>6.57</v>
      </c>
      <c r="D8" s="4">
        <v>0.27</v>
      </c>
      <c r="E8" s="4">
        <v>0.2</v>
      </c>
      <c r="F8" s="4">
        <v>2.5999999999999999E-2</v>
      </c>
      <c r="G8" s="4">
        <f t="shared" si="0"/>
        <v>0.76687116564418267</v>
      </c>
    </row>
    <row r="9" spans="1:8" x14ac:dyDescent="0.2">
      <c r="A9" s="3">
        <v>45748</v>
      </c>
      <c r="B9" s="4">
        <v>1.06</v>
      </c>
      <c r="C9" s="4">
        <v>1.07</v>
      </c>
      <c r="D9" s="4">
        <v>7.8E-2</v>
      </c>
      <c r="E9" s="4">
        <v>0.18</v>
      </c>
      <c r="F9" s="4">
        <v>8.0000000000000002E-3</v>
      </c>
      <c r="G9" s="4">
        <f t="shared" si="0"/>
        <v>0.94339622641509513</v>
      </c>
    </row>
    <row r="10" spans="1:8" x14ac:dyDescent="0.2">
      <c r="A10" s="3">
        <v>45778</v>
      </c>
      <c r="B10" s="4">
        <v>2.09</v>
      </c>
      <c r="C10" s="4">
        <v>2.17</v>
      </c>
      <c r="D10" s="4">
        <v>8.7999999999999995E-2</v>
      </c>
      <c r="E10" s="4">
        <v>0.91</v>
      </c>
      <c r="F10" s="4">
        <v>8.0000000000000002E-3</v>
      </c>
      <c r="G10" s="4">
        <f t="shared" si="0"/>
        <v>3.8277511961722519</v>
      </c>
    </row>
    <row r="11" spans="1:8" x14ac:dyDescent="0.2">
      <c r="A11" s="3">
        <v>45809</v>
      </c>
      <c r="B11" s="4">
        <v>3.72</v>
      </c>
      <c r="C11" s="4">
        <v>3.86</v>
      </c>
      <c r="D11" s="4">
        <v>0.13900000000000001</v>
      </c>
      <c r="E11" s="4">
        <v>0.99</v>
      </c>
      <c r="F11" s="4">
        <v>1.2999999999999999E-2</v>
      </c>
      <c r="G11" s="4">
        <f t="shared" si="0"/>
        <v>3.7634408602150451</v>
      </c>
    </row>
    <row r="12" spans="1:8" x14ac:dyDescent="0.2">
      <c r="A12" s="3">
        <v>45839</v>
      </c>
      <c r="B12" s="4">
        <v>3.39</v>
      </c>
      <c r="C12" s="4">
        <v>3.39</v>
      </c>
      <c r="D12" s="4">
        <v>0.156</v>
      </c>
      <c r="E12" s="4">
        <v>-0.01</v>
      </c>
      <c r="F12" s="4">
        <v>1.7000000000000001E-2</v>
      </c>
      <c r="G12" s="4">
        <f t="shared" si="0"/>
        <v>0</v>
      </c>
    </row>
    <row r="13" spans="1:8" x14ac:dyDescent="0.2">
      <c r="A13" s="3">
        <v>45870</v>
      </c>
      <c r="B13" s="4">
        <v>1.8</v>
      </c>
      <c r="C13" s="4">
        <v>1.83</v>
      </c>
      <c r="D13" s="4">
        <v>6.4000000000000001E-2</v>
      </c>
      <c r="E13" s="4">
        <v>0.52</v>
      </c>
      <c r="F13" s="4">
        <v>6.0000000000000001E-3</v>
      </c>
      <c r="G13" s="4">
        <f t="shared" si="0"/>
        <v>1.6666666666666681</v>
      </c>
    </row>
    <row r="14" spans="1:8" x14ac:dyDescent="0.2">
      <c r="A14" s="3">
        <v>45901</v>
      </c>
      <c r="B14" s="4">
        <v>1.21</v>
      </c>
      <c r="C14" s="4">
        <v>1.1299999999999999</v>
      </c>
      <c r="D14" s="4">
        <v>0.06</v>
      </c>
      <c r="E14" s="4">
        <v>-1.26</v>
      </c>
      <c r="F14" s="4">
        <v>6.0000000000000001E-3</v>
      </c>
      <c r="G14" s="4">
        <f t="shared" si="0"/>
        <v>-6.6115702479338898</v>
      </c>
    </row>
    <row r="15" spans="1:8" x14ac:dyDescent="0.2">
      <c r="A15" s="3">
        <v>45931</v>
      </c>
      <c r="B15" s="4">
        <v>2.82</v>
      </c>
      <c r="C15" s="4">
        <v>2.84</v>
      </c>
      <c r="D15" s="4">
        <v>0.108</v>
      </c>
      <c r="E15" s="4">
        <v>0.19</v>
      </c>
      <c r="F15" s="4">
        <v>0.01</v>
      </c>
      <c r="G15" s="4">
        <f t="shared" si="0"/>
        <v>0.70921985815602906</v>
      </c>
    </row>
    <row r="16" spans="1:8" x14ac:dyDescent="0.2">
      <c r="A16" s="3">
        <v>45962</v>
      </c>
      <c r="B16" s="4">
        <v>1.79</v>
      </c>
      <c r="C16" s="4">
        <v>1.75</v>
      </c>
      <c r="D16" s="4">
        <v>5.5E-2</v>
      </c>
      <c r="E16" s="4">
        <v>-0.81</v>
      </c>
      <c r="F16" s="4">
        <v>5.0000000000000001E-3</v>
      </c>
      <c r="G16" s="4">
        <f t="shared" si="0"/>
        <v>-2.2346368715083815</v>
      </c>
    </row>
    <row r="17" spans="1:7" x14ac:dyDescent="0.2">
      <c r="A17" s="3">
        <v>45992</v>
      </c>
      <c r="B17" s="4">
        <v>1.21</v>
      </c>
      <c r="C17" s="4">
        <v>1.1499999999999999</v>
      </c>
      <c r="D17" s="4">
        <v>5.8999999999999997E-2</v>
      </c>
      <c r="E17" s="4">
        <v>-1</v>
      </c>
      <c r="F17" s="4">
        <v>6.0000000000000001E-3</v>
      </c>
      <c r="G17" s="4">
        <f t="shared" si="0"/>
        <v>-4.9586776859504171</v>
      </c>
    </row>
    <row r="18" spans="1:7" x14ac:dyDescent="0.2">
      <c r="A18" s="5"/>
      <c r="B18" s="5"/>
      <c r="C18" s="5"/>
      <c r="D18" s="5"/>
      <c r="E18" s="5"/>
    </row>
  </sheetData>
  <mergeCells count="1">
    <mergeCell ref="F1:H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7"/>
  <sheetViews>
    <sheetView workbookViewId="0">
      <selection activeCell="F6" sqref="F6:F17"/>
    </sheetView>
  </sheetViews>
  <sheetFormatPr baseColWidth="10" defaultColWidth="11" defaultRowHeight="16" x14ac:dyDescent="0.2"/>
  <sheetData>
    <row r="1" spans="1:8" x14ac:dyDescent="0.2">
      <c r="A1" s="5"/>
      <c r="B1" s="5"/>
      <c r="C1" s="5"/>
      <c r="D1" s="5"/>
      <c r="E1" s="5"/>
      <c r="F1" s="7" t="s">
        <v>0</v>
      </c>
      <c r="G1" s="7"/>
      <c r="H1" s="7"/>
    </row>
    <row r="2" spans="1:8" x14ac:dyDescent="0.2">
      <c r="A2" s="5"/>
      <c r="B2" s="5"/>
      <c r="C2" s="5"/>
      <c r="D2" s="5"/>
      <c r="E2" s="5"/>
      <c r="F2" s="7"/>
      <c r="G2" s="7"/>
      <c r="H2" s="7"/>
    </row>
    <row r="3" spans="1:8" x14ac:dyDescent="0.2">
      <c r="A3" s="5"/>
      <c r="B3" s="5"/>
      <c r="C3" s="5"/>
      <c r="D3" s="5"/>
      <c r="E3" s="5"/>
      <c r="F3" s="7"/>
      <c r="G3" s="7"/>
      <c r="H3" s="7"/>
    </row>
    <row r="4" spans="1:8" x14ac:dyDescent="0.2">
      <c r="A4" s="5"/>
      <c r="B4" s="5"/>
      <c r="C4" s="5"/>
      <c r="D4" s="5"/>
      <c r="E4" s="5"/>
      <c r="F4" s="5"/>
      <c r="G4" s="5"/>
      <c r="H4" s="5"/>
    </row>
    <row r="5" spans="1:8" x14ac:dyDescent="0.2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5"/>
    </row>
    <row r="6" spans="1:8" x14ac:dyDescent="0.2">
      <c r="A6" s="3">
        <v>45658</v>
      </c>
      <c r="B6" s="4">
        <v>180</v>
      </c>
      <c r="C6" s="4">
        <v>182</v>
      </c>
      <c r="D6" s="4">
        <v>5.72</v>
      </c>
      <c r="E6" s="4">
        <v>0.35</v>
      </c>
      <c r="F6" s="4">
        <v>0.46400000000000002</v>
      </c>
      <c r="G6" s="4">
        <f>((C6-B6)/B6)*100</f>
        <v>1.1111111111111112</v>
      </c>
      <c r="H6" s="5"/>
    </row>
    <row r="7" spans="1:8" x14ac:dyDescent="0.2">
      <c r="A7" s="3">
        <v>45689</v>
      </c>
      <c r="B7" s="4">
        <v>134</v>
      </c>
      <c r="C7" s="4">
        <v>133</v>
      </c>
      <c r="D7" s="4">
        <v>4.4800000000000004</v>
      </c>
      <c r="E7" s="4">
        <v>-0.22</v>
      </c>
      <c r="F7" s="4">
        <v>0.36599999999999999</v>
      </c>
      <c r="G7" s="4">
        <f t="shared" ref="G7:G17" si="0">((C7-B7)/B7)*100</f>
        <v>-0.74626865671641784</v>
      </c>
      <c r="H7" s="5"/>
    </row>
    <row r="8" spans="1:8" x14ac:dyDescent="0.2">
      <c r="A8" s="3">
        <v>45717</v>
      </c>
      <c r="B8" s="4">
        <v>82.2</v>
      </c>
      <c r="C8" s="4">
        <v>83</v>
      </c>
      <c r="D8" s="4">
        <v>2.69</v>
      </c>
      <c r="E8" s="4">
        <v>0.28000000000000003</v>
      </c>
      <c r="F8" s="4">
        <v>0.222</v>
      </c>
      <c r="G8" s="4">
        <f t="shared" si="0"/>
        <v>0.97323600973235669</v>
      </c>
      <c r="H8" s="5"/>
    </row>
    <row r="9" spans="1:8" x14ac:dyDescent="0.2">
      <c r="A9" s="3">
        <v>45748</v>
      </c>
      <c r="B9" s="4">
        <v>178</v>
      </c>
      <c r="C9" s="4">
        <v>179</v>
      </c>
      <c r="D9" s="4">
        <v>5.6</v>
      </c>
      <c r="E9" s="4">
        <v>0.18</v>
      </c>
      <c r="F9" s="4">
        <v>0.46200000000000002</v>
      </c>
      <c r="G9" s="4">
        <f t="shared" si="0"/>
        <v>0.5617977528089888</v>
      </c>
      <c r="H9" s="5"/>
    </row>
    <row r="10" spans="1:8" x14ac:dyDescent="0.2">
      <c r="A10" s="3">
        <v>45778</v>
      </c>
      <c r="B10" s="4">
        <v>133</v>
      </c>
      <c r="C10" s="4">
        <v>130</v>
      </c>
      <c r="D10" s="4">
        <v>4.1399999999999997</v>
      </c>
      <c r="E10" s="4">
        <v>-0.65</v>
      </c>
      <c r="F10" s="4">
        <v>0.33900000000000002</v>
      </c>
      <c r="G10" s="4">
        <f t="shared" si="0"/>
        <v>-2.2556390977443606</v>
      </c>
      <c r="H10" s="5"/>
    </row>
    <row r="11" spans="1:8" x14ac:dyDescent="0.2">
      <c r="A11" s="3">
        <v>45809</v>
      </c>
      <c r="B11" s="4">
        <v>47.1</v>
      </c>
      <c r="C11" s="4">
        <v>46</v>
      </c>
      <c r="D11" s="4">
        <v>1.66</v>
      </c>
      <c r="E11" s="4">
        <v>-0.68</v>
      </c>
      <c r="F11" s="4">
        <v>0.13400000000000001</v>
      </c>
      <c r="G11" s="4">
        <f t="shared" si="0"/>
        <v>-2.3354564755838672</v>
      </c>
      <c r="H11" s="5"/>
    </row>
    <row r="12" spans="1:8" x14ac:dyDescent="0.2">
      <c r="A12" s="3">
        <v>45839</v>
      </c>
      <c r="B12" s="4">
        <v>162</v>
      </c>
      <c r="C12" s="4">
        <v>157</v>
      </c>
      <c r="D12" s="4">
        <v>7.39</v>
      </c>
      <c r="E12" s="4">
        <v>-0.7</v>
      </c>
      <c r="F12" s="4">
        <v>0.64500000000000002</v>
      </c>
      <c r="G12" s="4">
        <f t="shared" si="0"/>
        <v>-3.0864197530864197</v>
      </c>
      <c r="H12" s="5"/>
    </row>
    <row r="13" spans="1:8" x14ac:dyDescent="0.2">
      <c r="A13" s="3">
        <v>45870</v>
      </c>
      <c r="B13" s="4">
        <v>74.900000000000006</v>
      </c>
      <c r="C13" s="4">
        <v>72</v>
      </c>
      <c r="D13" s="4">
        <v>3.08</v>
      </c>
      <c r="E13" s="4">
        <v>-0.94</v>
      </c>
      <c r="F13" s="4">
        <v>0.251</v>
      </c>
      <c r="G13" s="4">
        <f t="shared" si="0"/>
        <v>-3.8718291054739726</v>
      </c>
      <c r="H13" s="5"/>
    </row>
    <row r="14" spans="1:8" x14ac:dyDescent="0.2">
      <c r="A14" s="3">
        <v>45901</v>
      </c>
      <c r="B14" s="4">
        <v>41.8</v>
      </c>
      <c r="C14" s="4">
        <v>41</v>
      </c>
      <c r="D14" s="4">
        <v>1.74</v>
      </c>
      <c r="E14" s="4">
        <v>-0.47</v>
      </c>
      <c r="F14" s="4">
        <v>0.13600000000000001</v>
      </c>
      <c r="G14" s="4">
        <f t="shared" si="0"/>
        <v>-1.9138755980861177</v>
      </c>
      <c r="H14" s="5"/>
    </row>
    <row r="15" spans="1:8" x14ac:dyDescent="0.2">
      <c r="A15" s="3">
        <v>45931</v>
      </c>
      <c r="B15" s="4">
        <v>122</v>
      </c>
      <c r="C15" s="4">
        <v>123</v>
      </c>
      <c r="D15" s="4">
        <v>4.76</v>
      </c>
      <c r="E15" s="4">
        <v>0.2</v>
      </c>
      <c r="F15" s="4">
        <v>0.377</v>
      </c>
      <c r="G15" s="4">
        <f t="shared" si="0"/>
        <v>0.81967213114754101</v>
      </c>
      <c r="H15" s="5"/>
    </row>
    <row r="16" spans="1:8" x14ac:dyDescent="0.2">
      <c r="A16" s="3">
        <v>45962</v>
      </c>
      <c r="B16" s="4">
        <v>74.7</v>
      </c>
      <c r="C16" s="4">
        <v>77</v>
      </c>
      <c r="D16" s="4">
        <v>2.91</v>
      </c>
      <c r="E16" s="4">
        <v>0.78</v>
      </c>
      <c r="F16" s="4">
        <v>0.23200000000000001</v>
      </c>
      <c r="G16" s="4">
        <f t="shared" si="0"/>
        <v>3.0789825970548823</v>
      </c>
      <c r="H16" s="5"/>
    </row>
    <row r="17" spans="1:8" x14ac:dyDescent="0.2">
      <c r="A17" s="3">
        <v>45992</v>
      </c>
      <c r="B17" s="4">
        <v>41.8</v>
      </c>
      <c r="C17" s="4">
        <v>41</v>
      </c>
      <c r="D17" s="4">
        <v>1.54</v>
      </c>
      <c r="E17" s="4">
        <v>-0.55000000000000004</v>
      </c>
      <c r="F17" s="4">
        <v>0.123</v>
      </c>
      <c r="G17" s="4">
        <f t="shared" si="0"/>
        <v>-1.9138755980861177</v>
      </c>
      <c r="H17" s="5"/>
    </row>
  </sheetData>
  <mergeCells count="1">
    <mergeCell ref="F1:H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7"/>
  <sheetViews>
    <sheetView workbookViewId="0">
      <selection activeCell="F6" sqref="F6:F17"/>
    </sheetView>
  </sheetViews>
  <sheetFormatPr baseColWidth="10" defaultColWidth="11" defaultRowHeight="16" x14ac:dyDescent="0.2"/>
  <sheetData>
    <row r="1" spans="1:8" x14ac:dyDescent="0.2">
      <c r="A1" s="5"/>
      <c r="B1" s="5"/>
      <c r="C1" s="5"/>
      <c r="D1" s="5"/>
      <c r="E1" s="5"/>
      <c r="F1" s="7" t="s">
        <v>0</v>
      </c>
      <c r="G1" s="7"/>
      <c r="H1" s="7"/>
    </row>
    <row r="2" spans="1:8" x14ac:dyDescent="0.2">
      <c r="A2" s="5"/>
      <c r="B2" s="5"/>
      <c r="C2" s="5"/>
      <c r="D2" s="5"/>
      <c r="E2" s="5"/>
      <c r="F2" s="7"/>
      <c r="G2" s="7"/>
      <c r="H2" s="7"/>
    </row>
    <row r="3" spans="1:8" x14ac:dyDescent="0.2">
      <c r="A3" s="5"/>
      <c r="B3" s="5"/>
      <c r="C3" s="5"/>
      <c r="D3" s="5"/>
      <c r="E3" s="5"/>
      <c r="F3" s="7"/>
      <c r="G3" s="7"/>
      <c r="H3" s="7"/>
    </row>
    <row r="4" spans="1:8" x14ac:dyDescent="0.2">
      <c r="A4" s="5"/>
      <c r="B4" s="5"/>
      <c r="C4" s="5"/>
      <c r="D4" s="5"/>
      <c r="E4" s="5"/>
      <c r="F4" s="5"/>
      <c r="G4" s="5"/>
      <c r="H4" s="5"/>
    </row>
    <row r="5" spans="1:8" x14ac:dyDescent="0.2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5"/>
    </row>
    <row r="6" spans="1:8" x14ac:dyDescent="0.2">
      <c r="A6" s="3">
        <v>45658</v>
      </c>
      <c r="B6" s="4">
        <v>328</v>
      </c>
      <c r="C6" s="4">
        <v>337</v>
      </c>
      <c r="D6" s="4">
        <v>11.6</v>
      </c>
      <c r="E6" s="4">
        <v>0.8</v>
      </c>
      <c r="F6" s="4">
        <v>0.96399999999999997</v>
      </c>
      <c r="G6" s="4">
        <f>((C6-B6)/B6)*100</f>
        <v>2.7439024390243905</v>
      </c>
      <c r="H6" s="5"/>
    </row>
    <row r="7" spans="1:8" x14ac:dyDescent="0.2">
      <c r="A7" s="3">
        <v>45689</v>
      </c>
      <c r="B7" s="4">
        <v>247</v>
      </c>
      <c r="C7" s="4">
        <v>240</v>
      </c>
      <c r="D7" s="4">
        <v>9.4499999999999993</v>
      </c>
      <c r="E7" s="4">
        <v>-0.76</v>
      </c>
      <c r="F7" s="4">
        <v>0.79100000000000004</v>
      </c>
      <c r="G7" s="4">
        <f t="shared" ref="G7:G17" si="0">((C7-B7)/B7)*100</f>
        <v>-2.834008097165992</v>
      </c>
      <c r="H7" s="5"/>
    </row>
    <row r="8" spans="1:8" x14ac:dyDescent="0.2">
      <c r="A8" s="3">
        <v>45717</v>
      </c>
      <c r="B8" s="4">
        <v>156</v>
      </c>
      <c r="C8" s="4">
        <v>149</v>
      </c>
      <c r="D8" s="4">
        <v>5.28</v>
      </c>
      <c r="E8" s="4">
        <v>-1.36</v>
      </c>
      <c r="F8" s="4">
        <v>0.44900000000000001</v>
      </c>
      <c r="G8" s="4">
        <f t="shared" si="0"/>
        <v>-4.4871794871794872</v>
      </c>
      <c r="H8" s="5"/>
    </row>
    <row r="9" spans="1:8" x14ac:dyDescent="0.2">
      <c r="A9" s="3">
        <v>45748</v>
      </c>
      <c r="B9" s="4">
        <v>327</v>
      </c>
      <c r="C9" s="4">
        <v>313</v>
      </c>
      <c r="D9" s="4">
        <v>11.3</v>
      </c>
      <c r="E9" s="4">
        <v>-1.23</v>
      </c>
      <c r="F9" s="4">
        <v>0.95099999999999996</v>
      </c>
      <c r="G9" s="4">
        <f t="shared" si="0"/>
        <v>-4.281345565749235</v>
      </c>
      <c r="H9" s="5"/>
    </row>
    <row r="10" spans="1:8" x14ac:dyDescent="0.2">
      <c r="A10" s="3">
        <v>45778</v>
      </c>
      <c r="B10" s="4">
        <v>247</v>
      </c>
      <c r="C10" s="4">
        <v>235</v>
      </c>
      <c r="D10" s="4">
        <v>8.57</v>
      </c>
      <c r="E10" s="4">
        <v>-1.4</v>
      </c>
      <c r="F10" s="4">
        <v>0.71799999999999997</v>
      </c>
      <c r="G10" s="4">
        <f t="shared" si="0"/>
        <v>-4.8582995951417001</v>
      </c>
      <c r="H10" s="5"/>
    </row>
    <row r="11" spans="1:8" x14ac:dyDescent="0.2">
      <c r="A11" s="3">
        <v>45809</v>
      </c>
      <c r="B11" s="4">
        <v>95</v>
      </c>
      <c r="C11" s="4">
        <v>91</v>
      </c>
      <c r="D11" s="4">
        <v>3.3</v>
      </c>
      <c r="E11" s="4">
        <v>-1.2</v>
      </c>
      <c r="F11" s="4">
        <v>0.27200000000000002</v>
      </c>
      <c r="G11" s="4">
        <f t="shared" si="0"/>
        <v>-4.2105263157894735</v>
      </c>
      <c r="H11" s="5"/>
    </row>
    <row r="12" spans="1:8" x14ac:dyDescent="0.2">
      <c r="A12" s="3">
        <v>45839</v>
      </c>
      <c r="B12" s="4">
        <v>326</v>
      </c>
      <c r="C12" s="4">
        <v>313</v>
      </c>
      <c r="D12" s="4">
        <v>12</v>
      </c>
      <c r="E12" s="4">
        <v>-1.06</v>
      </c>
      <c r="F12" s="4">
        <v>1.08</v>
      </c>
      <c r="G12" s="4">
        <f t="shared" si="0"/>
        <v>-3.9877300613496933</v>
      </c>
      <c r="H12" s="5"/>
    </row>
    <row r="13" spans="1:8" x14ac:dyDescent="0.2">
      <c r="A13" s="3">
        <v>45870</v>
      </c>
      <c r="B13" s="4">
        <v>157</v>
      </c>
      <c r="C13" s="4">
        <v>151</v>
      </c>
      <c r="D13" s="4">
        <v>5.86</v>
      </c>
      <c r="E13" s="4">
        <v>-1.06</v>
      </c>
      <c r="F13" s="4">
        <v>0.48799999999999999</v>
      </c>
      <c r="G13" s="4">
        <f t="shared" si="0"/>
        <v>-3.8216560509554141</v>
      </c>
      <c r="H13" s="5"/>
    </row>
    <row r="14" spans="1:8" x14ac:dyDescent="0.2">
      <c r="A14" s="3">
        <v>45901</v>
      </c>
      <c r="B14" s="4">
        <v>95.8</v>
      </c>
      <c r="C14" s="4">
        <v>88</v>
      </c>
      <c r="D14" s="4">
        <v>3.64</v>
      </c>
      <c r="E14" s="4">
        <v>-2.14</v>
      </c>
      <c r="F14" s="4">
        <v>0.29299999999999998</v>
      </c>
      <c r="G14" s="4">
        <f t="shared" si="0"/>
        <v>-8.1419624217118969</v>
      </c>
      <c r="H14" s="5"/>
    </row>
    <row r="15" spans="1:8" x14ac:dyDescent="0.2">
      <c r="A15" s="3">
        <v>45931</v>
      </c>
      <c r="B15" s="4">
        <v>246</v>
      </c>
      <c r="C15" s="4">
        <v>232</v>
      </c>
      <c r="D15" s="4">
        <v>9.08</v>
      </c>
      <c r="E15" s="4">
        <v>-1.55</v>
      </c>
      <c r="F15" s="4">
        <v>0.73599999999999999</v>
      </c>
      <c r="G15" s="4">
        <f t="shared" si="0"/>
        <v>-5.6910569105691051</v>
      </c>
      <c r="H15" s="5"/>
    </row>
    <row r="16" spans="1:8" x14ac:dyDescent="0.2">
      <c r="A16" s="3">
        <v>45962</v>
      </c>
      <c r="B16" s="4">
        <v>156</v>
      </c>
      <c r="C16" s="4">
        <v>150</v>
      </c>
      <c r="D16" s="4">
        <v>5.45</v>
      </c>
      <c r="E16" s="4">
        <v>-1.1200000000000001</v>
      </c>
      <c r="F16" s="4">
        <v>0.44500000000000001</v>
      </c>
      <c r="G16" s="4">
        <f t="shared" si="0"/>
        <v>-3.8461538461538463</v>
      </c>
      <c r="H16" s="5"/>
    </row>
    <row r="17" spans="1:8" x14ac:dyDescent="0.2">
      <c r="A17" s="3">
        <v>45992</v>
      </c>
      <c r="B17" s="4">
        <v>95.5</v>
      </c>
      <c r="C17" s="4">
        <v>90</v>
      </c>
      <c r="D17" s="4">
        <v>3.04</v>
      </c>
      <c r="E17" s="4">
        <v>-1.84</v>
      </c>
      <c r="F17" s="4">
        <v>0.249</v>
      </c>
      <c r="G17" s="4">
        <f t="shared" si="0"/>
        <v>-5.7591623036649215</v>
      </c>
      <c r="H17" s="5"/>
    </row>
  </sheetData>
  <mergeCells count="1">
    <mergeCell ref="F1:H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7"/>
  <sheetViews>
    <sheetView workbookViewId="0">
      <selection activeCell="F6" sqref="F6:F17"/>
    </sheetView>
  </sheetViews>
  <sheetFormatPr baseColWidth="10" defaultColWidth="11" defaultRowHeight="16" x14ac:dyDescent="0.2"/>
  <sheetData>
    <row r="1" spans="1:8" x14ac:dyDescent="0.2">
      <c r="A1" s="5"/>
      <c r="B1" s="5"/>
      <c r="C1" s="5"/>
      <c r="D1" s="5"/>
      <c r="E1" s="5"/>
      <c r="F1" s="7" t="s">
        <v>0</v>
      </c>
      <c r="G1" s="7"/>
      <c r="H1" s="7"/>
    </row>
    <row r="2" spans="1:8" x14ac:dyDescent="0.2">
      <c r="A2" s="5"/>
      <c r="B2" s="5"/>
      <c r="C2" s="5"/>
      <c r="D2" s="5"/>
      <c r="E2" s="5"/>
      <c r="F2" s="7"/>
      <c r="G2" s="7"/>
      <c r="H2" s="7"/>
    </row>
    <row r="3" spans="1:8" x14ac:dyDescent="0.2">
      <c r="A3" s="5"/>
      <c r="B3" s="5"/>
      <c r="C3" s="5"/>
      <c r="D3" s="5"/>
      <c r="E3" s="5"/>
      <c r="F3" s="7"/>
      <c r="G3" s="7"/>
      <c r="H3" s="7"/>
    </row>
    <row r="4" spans="1:8" x14ac:dyDescent="0.2">
      <c r="A4" s="5"/>
      <c r="B4" s="5"/>
      <c r="C4" s="5"/>
      <c r="D4" s="5"/>
      <c r="E4" s="5"/>
      <c r="F4" s="5"/>
      <c r="G4" s="5"/>
      <c r="H4" s="5"/>
    </row>
    <row r="5" spans="1:8" x14ac:dyDescent="0.2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5"/>
    </row>
    <row r="6" spans="1:8" x14ac:dyDescent="0.2">
      <c r="A6" s="3">
        <v>45658</v>
      </c>
      <c r="B6" s="4">
        <v>69.599999999999994</v>
      </c>
      <c r="C6" s="4">
        <v>70</v>
      </c>
      <c r="D6" s="4">
        <v>2.63</v>
      </c>
      <c r="E6" s="4">
        <v>0.13</v>
      </c>
      <c r="F6" s="4">
        <v>0.23300000000000001</v>
      </c>
      <c r="G6" s="4">
        <f>((C6-B6)/B6)*100</f>
        <v>0.5747126436781691</v>
      </c>
      <c r="H6" s="5"/>
    </row>
    <row r="7" spans="1:8" x14ac:dyDescent="0.2">
      <c r="A7" s="3">
        <v>45689</v>
      </c>
      <c r="B7" s="4">
        <v>56.6</v>
      </c>
      <c r="C7" s="4">
        <v>56</v>
      </c>
      <c r="D7" s="4">
        <v>2.29</v>
      </c>
      <c r="E7" s="4">
        <v>-0.25</v>
      </c>
      <c r="F7" s="4">
        <v>0.20499999999999999</v>
      </c>
      <c r="G7" s="4">
        <f t="shared" ref="G7:G17" si="0">((C7-B7)/B7)*100</f>
        <v>-1.0600706713780943</v>
      </c>
      <c r="H7" s="5"/>
    </row>
    <row r="8" spans="1:8" x14ac:dyDescent="0.2">
      <c r="A8" s="3">
        <v>45717</v>
      </c>
      <c r="B8" s="4">
        <v>37.1</v>
      </c>
      <c r="C8" s="4">
        <v>37</v>
      </c>
      <c r="D8" s="4">
        <v>1.6</v>
      </c>
      <c r="E8" s="4">
        <v>-0.04</v>
      </c>
      <c r="F8" s="4">
        <v>0.14399999999999999</v>
      </c>
      <c r="G8" s="4">
        <f t="shared" si="0"/>
        <v>-0.26954177897574505</v>
      </c>
      <c r="H8" s="5"/>
    </row>
    <row r="9" spans="1:8" x14ac:dyDescent="0.2">
      <c r="A9" s="3">
        <v>45748</v>
      </c>
      <c r="B9" s="4">
        <v>70.900000000000006</v>
      </c>
      <c r="C9" s="4">
        <v>73</v>
      </c>
      <c r="D9" s="4">
        <v>2.62</v>
      </c>
      <c r="E9" s="4">
        <v>0.81</v>
      </c>
      <c r="F9" s="4">
        <v>0.23699999999999999</v>
      </c>
      <c r="G9" s="4">
        <f t="shared" si="0"/>
        <v>2.9619181946403299</v>
      </c>
      <c r="H9" s="5"/>
    </row>
    <row r="10" spans="1:8" x14ac:dyDescent="0.2">
      <c r="A10" s="3">
        <v>45778</v>
      </c>
      <c r="B10" s="4">
        <v>56.8</v>
      </c>
      <c r="C10" s="4">
        <v>58</v>
      </c>
      <c r="D10" s="4">
        <v>2.34</v>
      </c>
      <c r="E10" s="4">
        <v>0.51</v>
      </c>
      <c r="F10" s="4">
        <v>0.20899999999999999</v>
      </c>
      <c r="G10" s="4">
        <f t="shared" si="0"/>
        <v>2.1126760563380333</v>
      </c>
      <c r="H10" s="5"/>
    </row>
    <row r="11" spans="1:8" x14ac:dyDescent="0.2">
      <c r="A11" s="3">
        <v>45809</v>
      </c>
      <c r="B11" s="4">
        <v>23.4</v>
      </c>
      <c r="C11" s="4">
        <v>23</v>
      </c>
      <c r="D11" s="4">
        <v>1.08</v>
      </c>
      <c r="E11" s="4">
        <v>-0.35</v>
      </c>
      <c r="F11" s="4">
        <v>9.5000000000000001E-2</v>
      </c>
      <c r="G11" s="4">
        <f t="shared" si="0"/>
        <v>-1.7094017094017033</v>
      </c>
      <c r="H11" s="5"/>
    </row>
    <row r="12" spans="1:8" x14ac:dyDescent="0.2">
      <c r="A12" s="3">
        <v>45839</v>
      </c>
      <c r="B12" s="4">
        <v>69.7</v>
      </c>
      <c r="C12" s="4">
        <v>70</v>
      </c>
      <c r="D12" s="4">
        <v>3.07</v>
      </c>
      <c r="E12" s="4">
        <v>0.1</v>
      </c>
      <c r="F12" s="4">
        <v>0.29199999999999998</v>
      </c>
      <c r="G12" s="4">
        <f t="shared" si="0"/>
        <v>0.43041606886656691</v>
      </c>
      <c r="H12" s="5"/>
    </row>
    <row r="13" spans="1:8" x14ac:dyDescent="0.2">
      <c r="A13" s="3">
        <v>45870</v>
      </c>
      <c r="B13" s="4">
        <v>37.4</v>
      </c>
      <c r="C13" s="4">
        <v>37</v>
      </c>
      <c r="D13" s="4">
        <v>1.85</v>
      </c>
      <c r="E13" s="4">
        <v>-0.22</v>
      </c>
      <c r="F13" s="4">
        <v>0.16300000000000001</v>
      </c>
      <c r="G13" s="4">
        <f t="shared" si="0"/>
        <v>-1.0695187165775364</v>
      </c>
      <c r="H13" s="5"/>
    </row>
    <row r="14" spans="1:8" x14ac:dyDescent="0.2">
      <c r="A14" s="3">
        <v>45901</v>
      </c>
      <c r="B14" s="4">
        <v>23.8</v>
      </c>
      <c r="C14" s="4">
        <v>23</v>
      </c>
      <c r="D14" s="4">
        <v>1.1200000000000001</v>
      </c>
      <c r="E14" s="4">
        <v>-0.71</v>
      </c>
      <c r="F14" s="4">
        <v>9.5000000000000001E-2</v>
      </c>
      <c r="G14" s="4">
        <f t="shared" si="0"/>
        <v>-3.3613445378151288</v>
      </c>
      <c r="H14" s="5"/>
    </row>
    <row r="15" spans="1:8" x14ac:dyDescent="0.2">
      <c r="A15" s="3">
        <v>45931</v>
      </c>
      <c r="B15" s="4">
        <v>56.7</v>
      </c>
      <c r="C15" s="4">
        <v>59</v>
      </c>
      <c r="D15" s="4">
        <v>2.59</v>
      </c>
      <c r="E15" s="4">
        <v>0.9</v>
      </c>
      <c r="F15" s="4">
        <v>0.221</v>
      </c>
      <c r="G15" s="4">
        <f t="shared" si="0"/>
        <v>4.0564373897707178</v>
      </c>
      <c r="H15" s="5"/>
    </row>
    <row r="16" spans="1:8" x14ac:dyDescent="0.2">
      <c r="A16" s="3">
        <v>45962</v>
      </c>
      <c r="B16" s="4">
        <v>37.299999999999997</v>
      </c>
      <c r="C16" s="4">
        <v>38</v>
      </c>
      <c r="D16" s="4">
        <v>1.66</v>
      </c>
      <c r="E16" s="4">
        <v>0.44</v>
      </c>
      <c r="F16" s="4">
        <v>0.14299999999999999</v>
      </c>
      <c r="G16" s="4">
        <f t="shared" si="0"/>
        <v>1.8766756032171661</v>
      </c>
      <c r="H16" s="5"/>
    </row>
    <row r="17" spans="1:8" x14ac:dyDescent="0.2">
      <c r="A17" s="3">
        <v>45992</v>
      </c>
      <c r="B17" s="4">
        <v>23.9</v>
      </c>
      <c r="C17" s="4">
        <v>25</v>
      </c>
      <c r="D17" s="4">
        <v>1.07</v>
      </c>
      <c r="E17" s="4">
        <v>1.07</v>
      </c>
      <c r="F17" s="4">
        <v>9.1999999999999998E-2</v>
      </c>
      <c r="G17" s="4">
        <f t="shared" si="0"/>
        <v>4.602510460251052</v>
      </c>
      <c r="H17" s="5"/>
    </row>
  </sheetData>
  <mergeCells count="1">
    <mergeCell ref="F1:H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7"/>
  <sheetViews>
    <sheetView workbookViewId="0">
      <selection activeCell="F6" sqref="F6:F17"/>
    </sheetView>
  </sheetViews>
  <sheetFormatPr baseColWidth="10" defaultColWidth="11" defaultRowHeight="16" x14ac:dyDescent="0.2"/>
  <sheetData>
    <row r="1" spans="1:8" x14ac:dyDescent="0.2">
      <c r="A1" s="5"/>
      <c r="B1" s="5"/>
      <c r="C1" s="5"/>
      <c r="D1" s="5"/>
      <c r="E1" s="5"/>
      <c r="F1" s="7" t="s">
        <v>0</v>
      </c>
      <c r="G1" s="7"/>
      <c r="H1" s="7"/>
    </row>
    <row r="2" spans="1:8" x14ac:dyDescent="0.2">
      <c r="A2" s="5"/>
      <c r="B2" s="5"/>
      <c r="C2" s="5"/>
      <c r="D2" s="5"/>
      <c r="E2" s="5"/>
      <c r="F2" s="7"/>
      <c r="G2" s="7"/>
      <c r="H2" s="7"/>
    </row>
    <row r="3" spans="1:8" x14ac:dyDescent="0.2">
      <c r="A3" s="5"/>
      <c r="B3" s="5"/>
      <c r="C3" s="5"/>
      <c r="D3" s="5"/>
      <c r="E3" s="5"/>
      <c r="F3" s="7"/>
      <c r="G3" s="7"/>
      <c r="H3" s="7"/>
    </row>
    <row r="4" spans="1:8" x14ac:dyDescent="0.2">
      <c r="A4" s="5"/>
      <c r="B4" s="5"/>
      <c r="C4" s="5"/>
      <c r="D4" s="5"/>
      <c r="E4" s="5"/>
      <c r="F4" s="5"/>
      <c r="G4" s="5"/>
      <c r="H4" s="5"/>
    </row>
    <row r="5" spans="1:8" x14ac:dyDescent="0.2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5"/>
    </row>
    <row r="6" spans="1:8" x14ac:dyDescent="0.2">
      <c r="A6" s="3">
        <v>45658</v>
      </c>
      <c r="B6" s="4">
        <v>8.26</v>
      </c>
      <c r="C6" s="4">
        <v>8.2200000000000006</v>
      </c>
      <c r="D6" s="4">
        <v>0.17899999999999999</v>
      </c>
      <c r="E6" s="4">
        <f>0.2</f>
        <v>0.2</v>
      </c>
      <c r="F6" s="4">
        <v>1.4E-2</v>
      </c>
      <c r="G6" s="4">
        <f>((C6-B6)/B6)*100</f>
        <v>-0.48426150121064343</v>
      </c>
      <c r="H6" s="5"/>
    </row>
    <row r="7" spans="1:8" x14ac:dyDescent="0.2">
      <c r="A7" s="3">
        <v>45689</v>
      </c>
      <c r="B7" s="4">
        <v>6.71</v>
      </c>
      <c r="C7" s="4">
        <v>6.69</v>
      </c>
      <c r="D7" s="4">
        <v>0.14699999999999999</v>
      </c>
      <c r="E7" s="4">
        <f>0.1</f>
        <v>0.1</v>
      </c>
      <c r="F7" s="4">
        <v>1.2E-2</v>
      </c>
      <c r="G7" s="4">
        <f t="shared" ref="G7:G17" si="0">((C7-B7)/B7)*100</f>
        <v>-0.29806259314455402</v>
      </c>
      <c r="H7" s="5"/>
    </row>
    <row r="8" spans="1:8" x14ac:dyDescent="0.2">
      <c r="A8" s="3">
        <v>45717</v>
      </c>
      <c r="B8" s="4">
        <v>4.91</v>
      </c>
      <c r="C8" s="4">
        <v>4.95</v>
      </c>
      <c r="D8" s="4">
        <v>0.11</v>
      </c>
      <c r="E8" s="4">
        <v>0.32</v>
      </c>
      <c r="F8" s="4">
        <v>8.9999999999999993E-3</v>
      </c>
      <c r="G8" s="4">
        <f t="shared" si="0"/>
        <v>0.81466395112016354</v>
      </c>
      <c r="H8" s="5"/>
    </row>
    <row r="9" spans="1:8" x14ac:dyDescent="0.2">
      <c r="A9" s="3">
        <v>45748</v>
      </c>
      <c r="B9" s="4">
        <v>8.27</v>
      </c>
      <c r="C9" s="4">
        <v>8.33</v>
      </c>
      <c r="D9" s="4">
        <v>0.17799999999999999</v>
      </c>
      <c r="E9" s="4">
        <v>0.33</v>
      </c>
      <c r="F9" s="4">
        <v>1.4E-2</v>
      </c>
      <c r="G9" s="4">
        <f t="shared" si="0"/>
        <v>0.72551390568319829</v>
      </c>
      <c r="H9" s="5"/>
    </row>
    <row r="10" spans="1:8" x14ac:dyDescent="0.2">
      <c r="A10" s="3">
        <v>45778</v>
      </c>
      <c r="B10" s="4">
        <v>6.71</v>
      </c>
      <c r="C10" s="4">
        <v>6.62</v>
      </c>
      <c r="D10" s="4">
        <v>0.14899999999999999</v>
      </c>
      <c r="E10" s="4">
        <v>-0.64</v>
      </c>
      <c r="F10" s="4">
        <v>1.2E-2</v>
      </c>
      <c r="G10" s="4">
        <f t="shared" si="0"/>
        <v>-1.3412816691505194</v>
      </c>
      <c r="H10" s="5"/>
    </row>
    <row r="11" spans="1:8" x14ac:dyDescent="0.2">
      <c r="A11" s="3">
        <v>45809</v>
      </c>
      <c r="B11" s="4">
        <v>3.71</v>
      </c>
      <c r="C11" s="4">
        <v>3.66</v>
      </c>
      <c r="D11" s="4">
        <v>9.4E-2</v>
      </c>
      <c r="E11" s="4">
        <v>-0.56999999999999995</v>
      </c>
      <c r="F11" s="4">
        <v>6.71</v>
      </c>
      <c r="G11" s="4">
        <f t="shared" si="0"/>
        <v>-1.3477088948787015</v>
      </c>
      <c r="H11" s="5"/>
    </row>
    <row r="12" spans="1:8" x14ac:dyDescent="0.2">
      <c r="A12" s="3">
        <v>45839</v>
      </c>
      <c r="B12" s="4">
        <v>7.57</v>
      </c>
      <c r="C12" s="4">
        <v>7.47</v>
      </c>
      <c r="D12" s="4">
        <v>0.20200000000000001</v>
      </c>
      <c r="E12" s="4">
        <v>-0.52</v>
      </c>
      <c r="F12" s="4">
        <v>1.7000000000000001E-2</v>
      </c>
      <c r="G12" s="4">
        <f t="shared" si="0"/>
        <v>-1.3210039630118959</v>
      </c>
      <c r="H12" s="5"/>
    </row>
    <row r="13" spans="1:8" x14ac:dyDescent="0.2">
      <c r="A13" s="3">
        <v>45870</v>
      </c>
      <c r="B13" s="4">
        <v>4.66</v>
      </c>
      <c r="C13" s="4">
        <v>4.78</v>
      </c>
      <c r="D13" s="4">
        <v>0.112</v>
      </c>
      <c r="E13" s="4">
        <v>1.05</v>
      </c>
      <c r="F13" s="4">
        <v>8.9999999999999993E-3</v>
      </c>
      <c r="G13" s="4">
        <f t="shared" si="0"/>
        <v>2.5751072961373414</v>
      </c>
      <c r="H13" s="5"/>
    </row>
    <row r="14" spans="1:8" x14ac:dyDescent="0.2">
      <c r="A14" s="3">
        <v>45901</v>
      </c>
      <c r="B14" s="4">
        <v>3.6</v>
      </c>
      <c r="C14" s="4">
        <v>3.8</v>
      </c>
      <c r="D14" s="4">
        <v>0.106</v>
      </c>
      <c r="E14" s="4">
        <v>1.92</v>
      </c>
      <c r="F14" s="4">
        <v>8.0000000000000002E-3</v>
      </c>
      <c r="G14" s="4">
        <f t="shared" si="0"/>
        <v>5.5555555555555483</v>
      </c>
      <c r="H14" s="5"/>
    </row>
    <row r="15" spans="1:8" x14ac:dyDescent="0.2">
      <c r="A15" s="3">
        <v>45931</v>
      </c>
      <c r="B15" s="4">
        <v>6.26</v>
      </c>
      <c r="C15" s="4">
        <v>6.41</v>
      </c>
      <c r="D15" s="4">
        <v>0.17199999999999999</v>
      </c>
      <c r="E15" s="4">
        <v>0.87</v>
      </c>
      <c r="F15" s="4">
        <v>1.2999999999999999E-2</v>
      </c>
      <c r="G15" s="4">
        <f t="shared" si="0"/>
        <v>2.3961661341853091</v>
      </c>
      <c r="H15" s="5"/>
    </row>
    <row r="16" spans="1:8" x14ac:dyDescent="0.2">
      <c r="A16" s="3">
        <v>45962</v>
      </c>
      <c r="B16" s="4">
        <v>4.7</v>
      </c>
      <c r="C16" s="4">
        <v>4.8</v>
      </c>
      <c r="D16" s="4">
        <v>0.14199999999999999</v>
      </c>
      <c r="E16" s="4">
        <v>0.71</v>
      </c>
      <c r="F16" s="4">
        <v>1.0999999999999999E-2</v>
      </c>
      <c r="G16" s="4">
        <f t="shared" si="0"/>
        <v>2.1276595744680775</v>
      </c>
      <c r="H16" s="5"/>
    </row>
    <row r="17" spans="1:8" x14ac:dyDescent="0.2">
      <c r="A17" s="3">
        <v>45992</v>
      </c>
      <c r="B17" s="4">
        <v>3.64</v>
      </c>
      <c r="C17" s="4">
        <v>3.76</v>
      </c>
      <c r="D17" s="4">
        <v>0.109</v>
      </c>
      <c r="E17" s="4">
        <v>1.1100000000000001</v>
      </c>
      <c r="F17" s="4">
        <v>8.0000000000000002E-3</v>
      </c>
      <c r="G17" s="4">
        <f t="shared" si="0"/>
        <v>3.2967032967032872</v>
      </c>
      <c r="H17" s="5"/>
    </row>
  </sheetData>
  <mergeCells count="1">
    <mergeCell ref="F1:H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7"/>
  <sheetViews>
    <sheetView workbookViewId="0">
      <selection activeCell="F6" sqref="F6:F17"/>
    </sheetView>
  </sheetViews>
  <sheetFormatPr baseColWidth="10" defaultColWidth="11" defaultRowHeight="16" x14ac:dyDescent="0.2"/>
  <sheetData>
    <row r="1" spans="1:8" x14ac:dyDescent="0.2">
      <c r="A1" s="5"/>
      <c r="B1" s="5"/>
      <c r="C1" s="5"/>
      <c r="D1" s="5"/>
      <c r="E1" s="5"/>
      <c r="F1" s="7" t="s">
        <v>0</v>
      </c>
      <c r="G1" s="7"/>
      <c r="H1" s="7"/>
    </row>
    <row r="2" spans="1:8" x14ac:dyDescent="0.2">
      <c r="A2" s="5"/>
      <c r="B2" s="5"/>
      <c r="C2" s="5"/>
      <c r="D2" s="5"/>
      <c r="E2" s="5"/>
      <c r="F2" s="7"/>
      <c r="G2" s="7"/>
      <c r="H2" s="7"/>
    </row>
    <row r="3" spans="1:8" x14ac:dyDescent="0.2">
      <c r="A3" s="5"/>
      <c r="B3" s="5"/>
      <c r="C3" s="5"/>
      <c r="D3" s="5"/>
      <c r="E3" s="5"/>
      <c r="F3" s="7"/>
      <c r="G3" s="7"/>
      <c r="H3" s="7"/>
    </row>
    <row r="4" spans="1:8" x14ac:dyDescent="0.2">
      <c r="A4" s="5"/>
      <c r="B4" s="5"/>
      <c r="C4" s="5"/>
      <c r="D4" s="5"/>
      <c r="E4" s="5"/>
      <c r="F4" s="5"/>
      <c r="G4" s="5"/>
      <c r="H4" s="5"/>
    </row>
    <row r="5" spans="1:8" x14ac:dyDescent="0.2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5"/>
    </row>
    <row r="6" spans="1:8" x14ac:dyDescent="0.2">
      <c r="A6" s="3">
        <v>45658</v>
      </c>
      <c r="B6" s="4">
        <v>5.07</v>
      </c>
      <c r="C6" s="4">
        <v>5.07</v>
      </c>
      <c r="D6" s="4">
        <v>0.108</v>
      </c>
      <c r="E6" s="4">
        <v>0</v>
      </c>
      <c r="F6" s="4">
        <v>8.9999999999999993E-3</v>
      </c>
      <c r="G6" s="4">
        <f>((C6-B6)/B6)*100</f>
        <v>0</v>
      </c>
      <c r="H6" s="5"/>
    </row>
    <row r="7" spans="1:8" x14ac:dyDescent="0.2">
      <c r="A7" s="3">
        <v>45689</v>
      </c>
      <c r="B7" s="4">
        <v>4.1399999999999997</v>
      </c>
      <c r="C7" s="4">
        <v>4.16</v>
      </c>
      <c r="D7" s="4">
        <v>0.09</v>
      </c>
      <c r="E7" s="4">
        <v>0.2</v>
      </c>
      <c r="F7" s="4">
        <v>7.0000000000000001E-3</v>
      </c>
      <c r="G7" s="4">
        <f t="shared" ref="G7:G17" si="0">((C7-B7)/B7)*100</f>
        <v>0.48309178743962466</v>
      </c>
      <c r="H7" s="5"/>
    </row>
    <row r="8" spans="1:8" x14ac:dyDescent="0.2">
      <c r="A8" s="3">
        <v>45717</v>
      </c>
      <c r="B8" s="4">
        <v>3.12</v>
      </c>
      <c r="C8" s="4">
        <v>3.05</v>
      </c>
      <c r="D8" s="4">
        <v>7.5999999999999998E-2</v>
      </c>
      <c r="E8" s="4">
        <v>-0.88</v>
      </c>
      <c r="F8" s="4">
        <v>6.0000000000000001E-3</v>
      </c>
      <c r="G8" s="4">
        <f t="shared" si="0"/>
        <v>-2.2435897435897525</v>
      </c>
      <c r="H8" s="5"/>
    </row>
    <row r="9" spans="1:8" x14ac:dyDescent="0.2">
      <c r="A9" s="3">
        <v>45748</v>
      </c>
      <c r="B9" s="4">
        <v>5.0599999999999996</v>
      </c>
      <c r="C9" s="4">
        <v>5.07</v>
      </c>
      <c r="D9" s="4">
        <v>9.8000000000000004E-2</v>
      </c>
      <c r="E9" s="4">
        <v>0.08</v>
      </c>
      <c r="F9" s="4">
        <v>8.0000000000000002E-3</v>
      </c>
      <c r="G9" s="4">
        <f t="shared" si="0"/>
        <v>0.19762845849803706</v>
      </c>
      <c r="H9" s="5"/>
    </row>
    <row r="10" spans="1:8" x14ac:dyDescent="0.2">
      <c r="A10" s="3">
        <v>45778</v>
      </c>
      <c r="B10" s="4">
        <v>4.1399999999999997</v>
      </c>
      <c r="C10" s="4">
        <v>4.08</v>
      </c>
      <c r="D10" s="4">
        <v>9.1999999999999998E-2</v>
      </c>
      <c r="E10" s="4">
        <v>-0.61</v>
      </c>
      <c r="F10" s="4">
        <v>8.0000000000000002E-3</v>
      </c>
      <c r="G10" s="4">
        <f t="shared" si="0"/>
        <v>-1.4492753623188313</v>
      </c>
      <c r="H10" s="5"/>
    </row>
    <row r="11" spans="1:8" x14ac:dyDescent="0.2">
      <c r="A11" s="3">
        <v>45809</v>
      </c>
      <c r="B11" s="4">
        <v>2.38</v>
      </c>
      <c r="C11" s="4">
        <v>2.35</v>
      </c>
      <c r="D11" s="4">
        <v>5.8999999999999997E-2</v>
      </c>
      <c r="E11" s="4">
        <v>-0.49</v>
      </c>
      <c r="F11" s="4">
        <v>5.0000000000000001E-3</v>
      </c>
      <c r="G11" s="4">
        <f t="shared" si="0"/>
        <v>-1.2605042016806642</v>
      </c>
      <c r="H11" s="5"/>
    </row>
    <row r="12" spans="1:8" x14ac:dyDescent="0.2">
      <c r="A12" s="3">
        <v>45839</v>
      </c>
      <c r="B12" s="4">
        <v>4.67</v>
      </c>
      <c r="C12" s="4">
        <v>4.62</v>
      </c>
      <c r="D12" s="4">
        <v>0.11799999999999999</v>
      </c>
      <c r="E12" s="4">
        <v>-0.42</v>
      </c>
      <c r="F12" s="4">
        <v>0.01</v>
      </c>
      <c r="G12" s="4">
        <f t="shared" si="0"/>
        <v>-1.0706638115631655</v>
      </c>
      <c r="H12" s="5"/>
    </row>
    <row r="13" spans="1:8" x14ac:dyDescent="0.2">
      <c r="A13" s="3">
        <v>45870</v>
      </c>
      <c r="B13" s="4">
        <v>2.92</v>
      </c>
      <c r="C13" s="4">
        <v>2.86</v>
      </c>
      <c r="D13" s="4">
        <v>7.4999999999999997E-2</v>
      </c>
      <c r="E13" s="4">
        <v>-0.78</v>
      </c>
      <c r="F13" s="4">
        <v>6.0000000000000001E-3</v>
      </c>
      <c r="G13" s="4">
        <f t="shared" si="0"/>
        <v>-2.0547945205479472</v>
      </c>
      <c r="H13" s="5"/>
    </row>
    <row r="14" spans="1:8" x14ac:dyDescent="0.2">
      <c r="A14" s="3">
        <v>45901</v>
      </c>
      <c r="B14" s="4">
        <v>2.2599999999999998</v>
      </c>
      <c r="C14" s="4">
        <v>2.21</v>
      </c>
      <c r="D14" s="4">
        <v>6.3E-2</v>
      </c>
      <c r="E14" s="4">
        <v>-0.78</v>
      </c>
      <c r="F14" s="4">
        <v>5.0000000000000001E-3</v>
      </c>
      <c r="G14" s="4">
        <f t="shared" si="0"/>
        <v>-2.2123893805309658</v>
      </c>
      <c r="H14" s="5"/>
    </row>
    <row r="15" spans="1:8" x14ac:dyDescent="0.2">
      <c r="A15" s="3">
        <v>45931</v>
      </c>
      <c r="B15" s="4">
        <v>3.85</v>
      </c>
      <c r="C15" s="4">
        <v>3.87</v>
      </c>
      <c r="D15" s="4">
        <v>8.3000000000000004E-2</v>
      </c>
      <c r="E15" s="4">
        <v>0.23</v>
      </c>
      <c r="F15" s="4">
        <v>7.0000000000000001E-3</v>
      </c>
      <c r="G15" s="4">
        <f t="shared" si="0"/>
        <v>0.51948051948051988</v>
      </c>
      <c r="H15" s="5"/>
    </row>
    <row r="16" spans="1:8" x14ac:dyDescent="0.2">
      <c r="A16" s="3">
        <v>45962</v>
      </c>
      <c r="B16" s="4">
        <v>2.92</v>
      </c>
      <c r="C16" s="4">
        <v>2.94</v>
      </c>
      <c r="D16" s="4">
        <v>7.3999999999999996E-2</v>
      </c>
      <c r="E16" s="4">
        <v>0.27</v>
      </c>
      <c r="F16" s="4">
        <v>6.0000000000000001E-3</v>
      </c>
      <c r="G16" s="4">
        <f t="shared" si="0"/>
        <v>0.6849315068493157</v>
      </c>
      <c r="H16" s="5"/>
    </row>
    <row r="17" spans="1:8" x14ac:dyDescent="0.2">
      <c r="A17" s="3">
        <v>45992</v>
      </c>
      <c r="B17" s="4">
        <v>2.2599999999999998</v>
      </c>
      <c r="C17" s="4">
        <v>2.2599999999999998</v>
      </c>
      <c r="D17" s="4">
        <v>5.8000000000000003E-2</v>
      </c>
      <c r="E17" s="4">
        <v>0.01</v>
      </c>
      <c r="F17" s="4">
        <v>5.0000000000000001E-3</v>
      </c>
      <c r="G17" s="4">
        <f t="shared" si="0"/>
        <v>0</v>
      </c>
      <c r="H17" s="5"/>
    </row>
  </sheetData>
  <mergeCells count="1">
    <mergeCell ref="F1:H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7"/>
  <sheetViews>
    <sheetView zoomScale="75" zoomScaleNormal="55" workbookViewId="0">
      <selection activeCell="F6" sqref="F6:F17"/>
    </sheetView>
  </sheetViews>
  <sheetFormatPr baseColWidth="10" defaultColWidth="11" defaultRowHeight="16" x14ac:dyDescent="0.2"/>
  <sheetData>
    <row r="1" spans="1:8" x14ac:dyDescent="0.2">
      <c r="A1" s="5"/>
      <c r="B1" s="5"/>
      <c r="C1" s="5"/>
      <c r="D1" s="5"/>
      <c r="E1" s="5"/>
      <c r="F1" s="7" t="s">
        <v>0</v>
      </c>
      <c r="G1" s="7"/>
      <c r="H1" s="7"/>
    </row>
    <row r="2" spans="1:8" x14ac:dyDescent="0.2">
      <c r="A2" s="5"/>
      <c r="B2" s="5"/>
      <c r="C2" s="5"/>
      <c r="D2" s="5"/>
      <c r="E2" s="5"/>
      <c r="F2" s="7"/>
      <c r="G2" s="7"/>
      <c r="H2" s="7"/>
    </row>
    <row r="3" spans="1:8" x14ac:dyDescent="0.2">
      <c r="A3" s="5"/>
      <c r="B3" s="5"/>
      <c r="C3" s="5"/>
      <c r="D3" s="5"/>
      <c r="E3" s="5"/>
      <c r="F3" s="7"/>
      <c r="G3" s="7"/>
      <c r="H3" s="7"/>
    </row>
    <row r="4" spans="1:8" x14ac:dyDescent="0.2">
      <c r="A4" s="5"/>
      <c r="B4" s="5"/>
      <c r="C4" s="5"/>
      <c r="D4" s="5"/>
      <c r="E4" s="5"/>
      <c r="F4" s="5"/>
      <c r="G4" s="5"/>
      <c r="H4" s="5"/>
    </row>
    <row r="5" spans="1:8" x14ac:dyDescent="0.2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5"/>
    </row>
    <row r="6" spans="1:8" x14ac:dyDescent="0.2">
      <c r="A6" s="3">
        <v>45658</v>
      </c>
      <c r="B6" s="4">
        <v>9.64</v>
      </c>
      <c r="C6" s="4">
        <v>9.66</v>
      </c>
      <c r="D6" s="4">
        <v>0.26400000000000001</v>
      </c>
      <c r="E6" s="4">
        <v>0.09</v>
      </c>
      <c r="F6" s="4">
        <v>2.1000000000000001E-2</v>
      </c>
      <c r="G6" s="4">
        <f>((C6-B6)/B6)*100</f>
        <v>0.20746887966804536</v>
      </c>
      <c r="H6" s="5"/>
    </row>
    <row r="7" spans="1:8" x14ac:dyDescent="0.2">
      <c r="A7" s="3">
        <v>45689</v>
      </c>
      <c r="B7" s="4">
        <v>6.97</v>
      </c>
      <c r="C7" s="4">
        <v>7</v>
      </c>
      <c r="D7" s="4">
        <v>0.17699999999999999</v>
      </c>
      <c r="E7" s="4">
        <v>0.19</v>
      </c>
      <c r="F7" s="4">
        <v>1.4E-2</v>
      </c>
      <c r="G7" s="4">
        <f t="shared" ref="G7:G17" si="0">((C7-B7)/B7)*100</f>
        <v>0.43041606886657463</v>
      </c>
      <c r="H7" s="5"/>
    </row>
    <row r="8" spans="1:8" x14ac:dyDescent="0.2">
      <c r="A8" s="3">
        <v>45717</v>
      </c>
      <c r="B8" s="4">
        <v>3.89</v>
      </c>
      <c r="C8" s="4">
        <v>3.87</v>
      </c>
      <c r="D8" s="4">
        <v>0.124</v>
      </c>
      <c r="E8" s="4">
        <v>-0.15</v>
      </c>
      <c r="F8" s="4">
        <v>0.01</v>
      </c>
      <c r="G8" s="4">
        <f t="shared" si="0"/>
        <v>-0.51413881748072032</v>
      </c>
      <c r="H8" s="5"/>
    </row>
    <row r="9" spans="1:8" x14ac:dyDescent="0.2">
      <c r="A9" s="3">
        <v>45748</v>
      </c>
      <c r="B9" s="4">
        <v>9.65</v>
      </c>
      <c r="C9" s="4">
        <v>9.6</v>
      </c>
      <c r="D9" s="4">
        <v>0.251</v>
      </c>
      <c r="E9" s="4">
        <v>-0.2</v>
      </c>
      <c r="F9" s="4">
        <v>2.1000000000000001E-2</v>
      </c>
      <c r="G9" s="4">
        <f t="shared" si="0"/>
        <v>-0.51813471502591402</v>
      </c>
      <c r="H9" s="5"/>
    </row>
    <row r="10" spans="1:8" x14ac:dyDescent="0.2">
      <c r="A10" s="3">
        <v>45778</v>
      </c>
      <c r="B10" s="4">
        <v>6.97</v>
      </c>
      <c r="C10" s="4">
        <v>6.87</v>
      </c>
      <c r="D10" s="4">
        <v>0.17199999999999999</v>
      </c>
      <c r="E10" s="4">
        <v>-0.59</v>
      </c>
      <c r="F10" s="4">
        <v>1.4E-2</v>
      </c>
      <c r="G10" s="4">
        <f t="shared" si="0"/>
        <v>-1.4347202295552317</v>
      </c>
      <c r="H10" s="5"/>
    </row>
    <row r="11" spans="1:8" x14ac:dyDescent="0.2">
      <c r="A11" s="3">
        <v>45809</v>
      </c>
      <c r="B11" s="4">
        <v>1.75</v>
      </c>
      <c r="C11" s="4">
        <v>1.76</v>
      </c>
      <c r="D11" s="4">
        <v>5.8000000000000003E-2</v>
      </c>
      <c r="E11" s="4">
        <v>0.22</v>
      </c>
      <c r="F11" s="4">
        <v>5.0000000000000001E-3</v>
      </c>
      <c r="G11" s="4">
        <f t="shared" si="0"/>
        <v>0.57142857142857195</v>
      </c>
      <c r="H11" s="5"/>
    </row>
    <row r="12" spans="1:8" x14ac:dyDescent="0.2">
      <c r="A12" s="3">
        <v>45839</v>
      </c>
      <c r="B12" s="4">
        <v>9</v>
      </c>
      <c r="C12" s="4">
        <v>9.15</v>
      </c>
      <c r="D12" s="4">
        <v>0.249</v>
      </c>
      <c r="E12" s="4">
        <v>0.61</v>
      </c>
      <c r="F12" s="4">
        <v>2.1999999999999999E-2</v>
      </c>
      <c r="G12" s="4">
        <f t="shared" si="0"/>
        <v>1.6666666666666705</v>
      </c>
      <c r="H12" s="5"/>
    </row>
    <row r="13" spans="1:8" x14ac:dyDescent="0.2">
      <c r="A13" s="3">
        <v>45870</v>
      </c>
      <c r="B13" s="4">
        <v>3.43</v>
      </c>
      <c r="C13" s="4">
        <v>3.35</v>
      </c>
      <c r="D13" s="4">
        <v>9.1999999999999998E-2</v>
      </c>
      <c r="E13" s="4">
        <v>-0.9</v>
      </c>
      <c r="F13" s="4">
        <v>7.0000000000000001E-3</v>
      </c>
      <c r="G13" s="4">
        <f t="shared" si="0"/>
        <v>-2.3323615160349873</v>
      </c>
      <c r="H13" s="5"/>
    </row>
    <row r="14" spans="1:8" x14ac:dyDescent="0.2">
      <c r="A14" s="3">
        <v>45901</v>
      </c>
      <c r="B14" s="4">
        <v>1.3</v>
      </c>
      <c r="C14" s="4">
        <v>1.29</v>
      </c>
      <c r="D14" s="4">
        <v>3.9E-2</v>
      </c>
      <c r="E14" s="4">
        <v>-0.26</v>
      </c>
      <c r="F14" s="4">
        <v>3.0000000000000001E-3</v>
      </c>
      <c r="G14" s="4">
        <f t="shared" si="0"/>
        <v>-0.76923076923076983</v>
      </c>
      <c r="H14" s="5"/>
    </row>
    <row r="15" spans="1:8" x14ac:dyDescent="0.2">
      <c r="A15" s="3">
        <v>45931</v>
      </c>
      <c r="B15" s="4">
        <v>6.51</v>
      </c>
      <c r="C15" s="4">
        <v>6.43</v>
      </c>
      <c r="D15" s="4">
        <v>0.17399999999999999</v>
      </c>
      <c r="E15" s="4">
        <v>-0.47</v>
      </c>
      <c r="F15" s="4">
        <v>1.4E-2</v>
      </c>
      <c r="G15" s="4">
        <f t="shared" si="0"/>
        <v>-1.2288786482334881</v>
      </c>
      <c r="H15" s="5"/>
    </row>
    <row r="16" spans="1:8" x14ac:dyDescent="0.2">
      <c r="A16" s="3">
        <v>45962</v>
      </c>
      <c r="B16" s="4">
        <v>3.41</v>
      </c>
      <c r="C16" s="4">
        <v>3.38</v>
      </c>
      <c r="D16" s="4">
        <v>9.1999999999999998E-2</v>
      </c>
      <c r="E16" s="4">
        <v>-0.36</v>
      </c>
      <c r="F16" s="4">
        <v>7.0000000000000001E-3</v>
      </c>
      <c r="G16" s="4">
        <f t="shared" si="0"/>
        <v>-0.87976539589443536</v>
      </c>
      <c r="H16" s="5"/>
    </row>
    <row r="17" spans="1:8" x14ac:dyDescent="0.2">
      <c r="A17" s="3">
        <v>45992</v>
      </c>
      <c r="B17" s="4">
        <v>1.3</v>
      </c>
      <c r="C17" s="4">
        <v>1.26</v>
      </c>
      <c r="D17" s="4">
        <v>3.2000000000000001E-2</v>
      </c>
      <c r="E17" s="4">
        <v>-1.2</v>
      </c>
      <c r="F17" s="4">
        <v>3.0000000000000001E-3</v>
      </c>
      <c r="G17" s="4">
        <f t="shared" si="0"/>
        <v>-3.0769230769230793</v>
      </c>
      <c r="H17" s="5"/>
    </row>
  </sheetData>
  <mergeCells count="1">
    <mergeCell ref="F1:H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7"/>
  <sheetViews>
    <sheetView workbookViewId="0">
      <selection activeCell="F6" sqref="F6:F17"/>
    </sheetView>
  </sheetViews>
  <sheetFormatPr baseColWidth="10" defaultColWidth="11" defaultRowHeight="16" x14ac:dyDescent="0.2"/>
  <sheetData>
    <row r="1" spans="1:8" x14ac:dyDescent="0.2">
      <c r="A1" s="5"/>
      <c r="B1" s="5"/>
      <c r="C1" s="5"/>
      <c r="D1" s="5"/>
      <c r="E1" s="5"/>
      <c r="F1" s="7" t="s">
        <v>0</v>
      </c>
      <c r="G1" s="7"/>
      <c r="H1" s="7"/>
    </row>
    <row r="2" spans="1:8" x14ac:dyDescent="0.2">
      <c r="A2" s="5"/>
      <c r="B2" s="5"/>
      <c r="C2" s="5"/>
      <c r="D2" s="5"/>
      <c r="E2" s="5"/>
      <c r="F2" s="7"/>
      <c r="G2" s="7"/>
      <c r="H2" s="7"/>
    </row>
    <row r="3" spans="1:8" x14ac:dyDescent="0.2">
      <c r="A3" s="5"/>
      <c r="B3" s="5"/>
      <c r="C3" s="5"/>
      <c r="D3" s="5"/>
      <c r="E3" s="5"/>
      <c r="F3" s="7"/>
      <c r="G3" s="7"/>
      <c r="H3" s="7"/>
    </row>
    <row r="4" spans="1:8" x14ac:dyDescent="0.2">
      <c r="A4" s="5"/>
      <c r="B4" s="5"/>
      <c r="C4" s="5"/>
      <c r="D4" s="5"/>
      <c r="E4" s="5"/>
      <c r="F4" s="5"/>
      <c r="G4" s="5"/>
      <c r="H4" s="5"/>
    </row>
    <row r="5" spans="1:8" x14ac:dyDescent="0.2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5"/>
    </row>
    <row r="6" spans="1:8" x14ac:dyDescent="0.2">
      <c r="A6" s="3">
        <v>45658</v>
      </c>
      <c r="B6" s="4">
        <v>2.63</v>
      </c>
      <c r="C6" s="4">
        <v>2.69</v>
      </c>
      <c r="D6" s="4">
        <v>0.104</v>
      </c>
      <c r="E6" s="4">
        <v>0.6</v>
      </c>
      <c r="F6" s="4">
        <v>3.94</v>
      </c>
      <c r="G6" s="4">
        <f>((C6-B6)/B6)*100</f>
        <v>2.2813688212927778</v>
      </c>
      <c r="H6" s="5"/>
    </row>
    <row r="7" spans="1:8" x14ac:dyDescent="0.2">
      <c r="A7" s="3">
        <v>45689</v>
      </c>
      <c r="B7" s="4">
        <v>2.1</v>
      </c>
      <c r="C7" s="4">
        <v>2.16</v>
      </c>
      <c r="D7" s="4">
        <v>8.2000000000000003E-2</v>
      </c>
      <c r="E7" s="4">
        <v>0.69</v>
      </c>
      <c r="F7" s="4">
        <v>7.0000000000000001E-3</v>
      </c>
      <c r="G7" s="4">
        <f t="shared" ref="G7:G17" si="0">((C7-B7)/B7)*100</f>
        <v>2.8571428571428594</v>
      </c>
      <c r="H7" s="5"/>
    </row>
    <row r="8" spans="1:8" x14ac:dyDescent="0.2">
      <c r="A8" s="3">
        <v>45717</v>
      </c>
      <c r="B8" s="4">
        <v>1.51</v>
      </c>
      <c r="C8" s="4">
        <v>1.52</v>
      </c>
      <c r="D8" s="4">
        <v>5.8999999999999997E-2</v>
      </c>
      <c r="E8" s="4">
        <v>0.15</v>
      </c>
      <c r="F8" s="4">
        <v>5.0000000000000001E-3</v>
      </c>
      <c r="G8" s="4">
        <f t="shared" si="0"/>
        <v>0.66225165562913968</v>
      </c>
      <c r="H8" s="5"/>
    </row>
    <row r="9" spans="1:8" x14ac:dyDescent="0.2">
      <c r="A9" s="3">
        <v>45748</v>
      </c>
      <c r="B9" s="4">
        <v>2.63</v>
      </c>
      <c r="C9" s="4">
        <v>2.63</v>
      </c>
      <c r="D9" s="4">
        <v>9.2999999999999999E-2</v>
      </c>
      <c r="E9" s="4">
        <v>-0.03</v>
      </c>
      <c r="F9" s="4">
        <v>8.0000000000000002E-3</v>
      </c>
      <c r="G9" s="4">
        <f t="shared" si="0"/>
        <v>0</v>
      </c>
      <c r="H9" s="5"/>
    </row>
    <row r="10" spans="1:8" x14ac:dyDescent="0.2">
      <c r="A10" s="3">
        <v>45778</v>
      </c>
      <c r="B10" s="4">
        <v>2.1</v>
      </c>
      <c r="C10" s="4">
        <v>2.17</v>
      </c>
      <c r="D10" s="4">
        <v>0.08</v>
      </c>
      <c r="E10" s="4">
        <v>0.82</v>
      </c>
      <c r="F10" s="4">
        <v>7.0000000000000001E-3</v>
      </c>
      <c r="G10" s="4">
        <f t="shared" si="0"/>
        <v>3.3333333333333255</v>
      </c>
      <c r="H10" s="5"/>
    </row>
    <row r="11" spans="1:8" x14ac:dyDescent="0.2">
      <c r="A11" s="3">
        <v>45809</v>
      </c>
      <c r="B11" s="4">
        <v>0.97899999999999998</v>
      </c>
      <c r="C11" s="4">
        <v>0.97</v>
      </c>
      <c r="D11" s="4">
        <v>3.3000000000000002E-2</v>
      </c>
      <c r="E11" s="4">
        <v>-0.28000000000000003</v>
      </c>
      <c r="F11" s="4">
        <v>3.0000000000000001E-3</v>
      </c>
      <c r="G11" s="4">
        <f t="shared" si="0"/>
        <v>-0.91930541368743701</v>
      </c>
      <c r="H11" s="5"/>
    </row>
    <row r="12" spans="1:8" x14ac:dyDescent="0.2">
      <c r="A12" s="3">
        <v>45839</v>
      </c>
      <c r="B12" s="4">
        <v>1.36</v>
      </c>
      <c r="C12" s="4">
        <v>1.3</v>
      </c>
      <c r="D12" s="4">
        <v>0.157</v>
      </c>
      <c r="E12" s="4">
        <v>-0.39</v>
      </c>
      <c r="F12" s="4">
        <v>1.4999999999999999E-2</v>
      </c>
      <c r="G12" s="4">
        <f t="shared" si="0"/>
        <v>-4.4117647058823568</v>
      </c>
      <c r="H12" s="5"/>
    </row>
    <row r="13" spans="1:8" x14ac:dyDescent="0.2">
      <c r="A13" s="3">
        <v>45870</v>
      </c>
      <c r="B13" s="4">
        <v>1.1499999999999999</v>
      </c>
      <c r="C13" s="4">
        <v>1.0900000000000001</v>
      </c>
      <c r="D13" s="4">
        <v>8.5000000000000006E-2</v>
      </c>
      <c r="E13" s="4">
        <v>-0.69</v>
      </c>
      <c r="F13" s="4">
        <v>7.0000000000000001E-3</v>
      </c>
      <c r="G13" s="4">
        <f t="shared" si="0"/>
        <v>-5.217391304347812</v>
      </c>
      <c r="H13" s="5"/>
    </row>
    <row r="14" spans="1:8" x14ac:dyDescent="0.2">
      <c r="A14" s="3">
        <v>45901</v>
      </c>
      <c r="B14" s="4">
        <v>0.91300000000000003</v>
      </c>
      <c r="C14" s="4">
        <v>0.89</v>
      </c>
      <c r="D14" s="4">
        <v>3.5999999999999997E-2</v>
      </c>
      <c r="E14" s="4">
        <v>-0.65</v>
      </c>
      <c r="F14" s="4">
        <v>3.0000000000000001E-3</v>
      </c>
      <c r="G14" s="4">
        <f t="shared" si="0"/>
        <v>-2.5191675794085455</v>
      </c>
      <c r="H14" s="5"/>
    </row>
    <row r="15" spans="1:8" x14ac:dyDescent="0.2">
      <c r="A15" s="3">
        <v>45931</v>
      </c>
      <c r="B15" s="4">
        <v>1.3</v>
      </c>
      <c r="C15" s="4">
        <v>1.25</v>
      </c>
      <c r="D15" s="4">
        <v>0.13</v>
      </c>
      <c r="E15" s="4">
        <v>-0.38</v>
      </c>
      <c r="F15" s="4">
        <v>1.0999999999999999E-2</v>
      </c>
      <c r="G15" s="4">
        <f t="shared" si="0"/>
        <v>-3.8461538461538494</v>
      </c>
      <c r="H15" s="5"/>
    </row>
    <row r="16" spans="1:8" x14ac:dyDescent="0.2">
      <c r="A16" s="3">
        <v>45962</v>
      </c>
      <c r="B16" s="4">
        <v>1.1299999999999999</v>
      </c>
      <c r="C16" s="4">
        <v>1.07</v>
      </c>
      <c r="D16" s="4">
        <v>7.4999999999999997E-2</v>
      </c>
      <c r="E16" s="4">
        <v>-0.86</v>
      </c>
      <c r="F16" s="4">
        <v>6.0000000000000001E-3</v>
      </c>
      <c r="G16" s="4">
        <f t="shared" si="0"/>
        <v>-5.3097345132743214</v>
      </c>
      <c r="H16" s="5"/>
    </row>
    <row r="17" spans="1:8" x14ac:dyDescent="0.2">
      <c r="A17" s="3">
        <v>45992</v>
      </c>
      <c r="B17" s="4">
        <v>0.90900000000000003</v>
      </c>
      <c r="C17" s="4">
        <v>0.91</v>
      </c>
      <c r="D17" s="4">
        <v>0.03</v>
      </c>
      <c r="E17" s="4">
        <v>0.03</v>
      </c>
      <c r="F17" s="4">
        <v>3.0000000000000001E-3</v>
      </c>
      <c r="G17" s="4">
        <f t="shared" si="0"/>
        <v>0.11001100110011011</v>
      </c>
      <c r="H17" s="5"/>
    </row>
  </sheetData>
  <mergeCells count="1">
    <mergeCell ref="F1:H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7"/>
  <sheetViews>
    <sheetView workbookViewId="0">
      <selection activeCell="F6" sqref="F6:F17"/>
    </sheetView>
  </sheetViews>
  <sheetFormatPr baseColWidth="10" defaultColWidth="11" defaultRowHeight="16" x14ac:dyDescent="0.2"/>
  <sheetData>
    <row r="1" spans="1:8" x14ac:dyDescent="0.2">
      <c r="A1" s="5"/>
      <c r="B1" s="5"/>
      <c r="C1" s="5"/>
      <c r="D1" s="5"/>
      <c r="E1" s="5"/>
      <c r="F1" s="7" t="s">
        <v>0</v>
      </c>
      <c r="G1" s="7"/>
      <c r="H1" s="7"/>
    </row>
    <row r="2" spans="1:8" x14ac:dyDescent="0.2">
      <c r="A2" s="5"/>
      <c r="B2" s="5"/>
      <c r="C2" s="5"/>
      <c r="D2" s="5"/>
      <c r="E2" s="5"/>
      <c r="F2" s="7"/>
      <c r="G2" s="7"/>
      <c r="H2" s="7"/>
    </row>
    <row r="3" spans="1:8" x14ac:dyDescent="0.2">
      <c r="A3" s="5"/>
      <c r="B3" s="5"/>
      <c r="C3" s="5"/>
      <c r="D3" s="5"/>
      <c r="E3" s="5"/>
      <c r="F3" s="7"/>
      <c r="G3" s="7"/>
      <c r="H3" s="7"/>
    </row>
    <row r="4" spans="1:8" x14ac:dyDescent="0.2">
      <c r="A4" s="5"/>
      <c r="B4" s="5"/>
      <c r="C4" s="5"/>
      <c r="D4" s="5"/>
      <c r="E4" s="5"/>
      <c r="F4" s="5"/>
      <c r="G4" s="5"/>
      <c r="H4" s="5"/>
    </row>
    <row r="5" spans="1:8" x14ac:dyDescent="0.2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5"/>
    </row>
    <row r="6" spans="1:8" x14ac:dyDescent="0.2">
      <c r="A6" s="3">
        <v>45658</v>
      </c>
      <c r="B6" s="4">
        <v>348</v>
      </c>
      <c r="C6" s="4">
        <v>346</v>
      </c>
      <c r="D6" s="4">
        <v>9.1300000000000008</v>
      </c>
      <c r="E6" s="4">
        <v>-0.19</v>
      </c>
      <c r="F6" s="4">
        <v>0.90200000000000002</v>
      </c>
      <c r="G6" s="4">
        <f>((C6-B6)/B6)*100</f>
        <v>-0.57471264367816088</v>
      </c>
      <c r="H6" s="5"/>
    </row>
    <row r="7" spans="1:8" x14ac:dyDescent="0.2">
      <c r="A7" s="3">
        <v>45689</v>
      </c>
      <c r="B7" s="4">
        <v>251</v>
      </c>
      <c r="C7" s="4">
        <v>252</v>
      </c>
      <c r="D7" s="4">
        <v>6.4</v>
      </c>
      <c r="E7" s="4">
        <v>0.12</v>
      </c>
      <c r="F7" s="4">
        <v>0.63600000000000001</v>
      </c>
      <c r="G7" s="4">
        <f t="shared" ref="G7:G17" si="0">((C7-B7)/B7)*100</f>
        <v>0.39840637450199201</v>
      </c>
      <c r="H7" s="5"/>
    </row>
    <row r="8" spans="1:8" x14ac:dyDescent="0.2">
      <c r="A8" s="3">
        <v>45717</v>
      </c>
      <c r="B8" s="4">
        <v>145</v>
      </c>
      <c r="C8" s="4">
        <v>148</v>
      </c>
      <c r="D8" s="4">
        <v>3.43</v>
      </c>
      <c r="E8" s="4">
        <v>0.86</v>
      </c>
      <c r="F8" s="4">
        <v>0.34799999999999998</v>
      </c>
      <c r="G8" s="4">
        <f t="shared" si="0"/>
        <v>2.0689655172413794</v>
      </c>
      <c r="H8" s="5"/>
    </row>
    <row r="9" spans="1:8" x14ac:dyDescent="0.2">
      <c r="A9" s="3">
        <v>45748</v>
      </c>
      <c r="B9" s="4">
        <v>348</v>
      </c>
      <c r="C9" s="4">
        <v>350</v>
      </c>
      <c r="D9" s="4">
        <v>8.27</v>
      </c>
      <c r="E9" s="4">
        <v>0.22</v>
      </c>
      <c r="F9" s="4">
        <v>0.83699999999999997</v>
      </c>
      <c r="G9" s="4">
        <f t="shared" si="0"/>
        <v>0.57471264367816088</v>
      </c>
      <c r="H9" s="5"/>
    </row>
    <row r="10" spans="1:8" x14ac:dyDescent="0.2">
      <c r="A10" s="3">
        <v>45778</v>
      </c>
      <c r="B10" s="4">
        <v>252</v>
      </c>
      <c r="C10" s="4">
        <v>252</v>
      </c>
      <c r="D10" s="4">
        <v>6.07</v>
      </c>
      <c r="E10" s="4">
        <v>0.06</v>
      </c>
      <c r="F10" s="4">
        <v>0.60599999999999998</v>
      </c>
      <c r="G10" s="4">
        <f t="shared" si="0"/>
        <v>0</v>
      </c>
      <c r="H10" s="5"/>
    </row>
    <row r="11" spans="1:8" x14ac:dyDescent="0.2">
      <c r="A11" s="3">
        <v>45809</v>
      </c>
      <c r="B11" s="4">
        <v>73.099999999999994</v>
      </c>
      <c r="C11" s="4">
        <v>73</v>
      </c>
      <c r="D11" s="4">
        <v>1.68</v>
      </c>
      <c r="E11" s="4">
        <v>-0.04</v>
      </c>
      <c r="F11" s="4">
        <v>0.16300000000000001</v>
      </c>
      <c r="G11" s="4">
        <f t="shared" si="0"/>
        <v>-0.13679890560874736</v>
      </c>
      <c r="H11" s="5"/>
    </row>
    <row r="12" spans="1:8" x14ac:dyDescent="0.2">
      <c r="A12" s="3">
        <v>45839</v>
      </c>
      <c r="B12" s="4">
        <v>349</v>
      </c>
      <c r="C12" s="4">
        <v>348</v>
      </c>
      <c r="D12" s="4">
        <v>9.3800000000000008</v>
      </c>
      <c r="E12" s="4">
        <v>-0.08</v>
      </c>
      <c r="F12" s="4">
        <v>1.02</v>
      </c>
      <c r="G12" s="4">
        <f t="shared" si="0"/>
        <v>-0.28653295128939826</v>
      </c>
      <c r="H12" s="5"/>
    </row>
    <row r="13" spans="1:8" x14ac:dyDescent="0.2">
      <c r="A13" s="3">
        <v>45870</v>
      </c>
      <c r="B13" s="4">
        <v>144</v>
      </c>
      <c r="C13" s="4">
        <v>141</v>
      </c>
      <c r="D13" s="4">
        <v>3.51</v>
      </c>
      <c r="E13" s="4">
        <v>-0.81</v>
      </c>
      <c r="F13" s="4">
        <v>0.35</v>
      </c>
      <c r="G13" s="4">
        <f t="shared" si="0"/>
        <v>-2.083333333333333</v>
      </c>
      <c r="H13" s="5"/>
    </row>
    <row r="14" spans="1:8" x14ac:dyDescent="0.2">
      <c r="A14" s="3">
        <v>45901</v>
      </c>
      <c r="B14" s="4">
        <v>70.900000000000006</v>
      </c>
      <c r="C14" s="4">
        <v>69</v>
      </c>
      <c r="D14" s="4">
        <v>1.71</v>
      </c>
      <c r="E14" s="4">
        <v>-1.1000000000000001</v>
      </c>
      <c r="F14" s="4">
        <v>0.16200000000000001</v>
      </c>
      <c r="G14" s="4">
        <f t="shared" si="0"/>
        <v>-2.6798307475317427</v>
      </c>
      <c r="H14" s="5"/>
    </row>
    <row r="15" spans="1:8" x14ac:dyDescent="0.2">
      <c r="A15" s="3">
        <v>45931</v>
      </c>
      <c r="B15" s="4">
        <v>252</v>
      </c>
      <c r="C15" s="4">
        <v>255</v>
      </c>
      <c r="D15" s="4">
        <v>6.41</v>
      </c>
      <c r="E15" s="4">
        <v>0.45</v>
      </c>
      <c r="F15" s="4">
        <v>0.61899999999999999</v>
      </c>
      <c r="G15" s="4">
        <f t="shared" si="0"/>
        <v>1.1904761904761905</v>
      </c>
      <c r="H15" s="5"/>
    </row>
    <row r="16" spans="1:8" x14ac:dyDescent="0.2">
      <c r="A16" s="3">
        <v>45962</v>
      </c>
      <c r="B16" s="4">
        <v>144</v>
      </c>
      <c r="C16" s="4">
        <v>144</v>
      </c>
      <c r="D16" s="4">
        <v>3.23</v>
      </c>
      <c r="E16" s="4">
        <v>0.04</v>
      </c>
      <c r="F16" s="4">
        <v>0.31</v>
      </c>
      <c r="G16" s="4">
        <f t="shared" si="0"/>
        <v>0</v>
      </c>
      <c r="H16" s="5"/>
    </row>
    <row r="17" spans="1:8" x14ac:dyDescent="0.2">
      <c r="A17" s="3">
        <v>45992</v>
      </c>
      <c r="B17" s="4">
        <v>71</v>
      </c>
      <c r="C17" s="4">
        <v>71</v>
      </c>
      <c r="D17" s="4">
        <v>1.67</v>
      </c>
      <c r="E17" s="4">
        <v>0.01</v>
      </c>
      <c r="F17" s="4">
        <v>0.16</v>
      </c>
      <c r="G17" s="4">
        <f t="shared" si="0"/>
        <v>0</v>
      </c>
      <c r="H17" s="5"/>
    </row>
  </sheetData>
  <mergeCells count="1">
    <mergeCell ref="F1:H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7"/>
  <sheetViews>
    <sheetView topLeftCell="A3" workbookViewId="0">
      <selection activeCell="F6" sqref="F6:F17"/>
    </sheetView>
  </sheetViews>
  <sheetFormatPr baseColWidth="10" defaultColWidth="11" defaultRowHeight="16" x14ac:dyDescent="0.2"/>
  <sheetData>
    <row r="1" spans="1:8" x14ac:dyDescent="0.2">
      <c r="A1" s="5"/>
      <c r="B1" s="5"/>
      <c r="C1" s="5"/>
      <c r="D1" s="5"/>
      <c r="E1" s="5"/>
      <c r="F1" s="7" t="s">
        <v>0</v>
      </c>
      <c r="G1" s="7"/>
      <c r="H1" s="7"/>
    </row>
    <row r="2" spans="1:8" x14ac:dyDescent="0.2">
      <c r="A2" s="5"/>
      <c r="B2" s="5"/>
      <c r="C2" s="5"/>
      <c r="D2" s="5"/>
      <c r="E2" s="5"/>
      <c r="F2" s="7"/>
      <c r="G2" s="7"/>
      <c r="H2" s="7"/>
    </row>
    <row r="3" spans="1:8" x14ac:dyDescent="0.2">
      <c r="A3" s="5"/>
      <c r="B3" s="5"/>
      <c r="C3" s="5"/>
      <c r="D3" s="5"/>
      <c r="E3" s="5"/>
      <c r="F3" s="7"/>
      <c r="G3" s="7"/>
      <c r="H3" s="7"/>
    </row>
    <row r="4" spans="1:8" x14ac:dyDescent="0.2">
      <c r="A4" s="5"/>
      <c r="B4" s="5"/>
      <c r="C4" s="5"/>
      <c r="D4" s="5"/>
      <c r="E4" s="5"/>
      <c r="F4" s="5"/>
      <c r="G4" s="5"/>
      <c r="H4" s="5"/>
    </row>
    <row r="5" spans="1:8" x14ac:dyDescent="0.2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5"/>
    </row>
    <row r="6" spans="1:8" x14ac:dyDescent="0.2">
      <c r="A6" s="3">
        <v>45658</v>
      </c>
      <c r="B6" s="4">
        <v>285</v>
      </c>
      <c r="C6" s="4">
        <v>299</v>
      </c>
      <c r="D6" s="4">
        <v>8.1</v>
      </c>
      <c r="E6" s="4">
        <v>1.7</v>
      </c>
      <c r="F6" s="4">
        <v>0.88</v>
      </c>
      <c r="G6" s="4">
        <f>((C6-B6)/B6)*100</f>
        <v>4.9122807017543861</v>
      </c>
      <c r="H6" s="5"/>
    </row>
    <row r="7" spans="1:8" x14ac:dyDescent="0.2">
      <c r="A7" s="3">
        <v>45689</v>
      </c>
      <c r="B7" s="4">
        <v>189</v>
      </c>
      <c r="C7" s="4">
        <v>190</v>
      </c>
      <c r="D7" s="4">
        <v>5.83</v>
      </c>
      <c r="E7" s="4">
        <v>0.19</v>
      </c>
      <c r="F7" s="4">
        <v>0.64100000000000001</v>
      </c>
      <c r="G7" s="4">
        <f t="shared" ref="G7:G17" si="0">((C7-B7)/B7)*100</f>
        <v>0.52910052910052907</v>
      </c>
      <c r="H7" s="5"/>
    </row>
    <row r="8" spans="1:8" x14ac:dyDescent="0.2">
      <c r="A8" s="3">
        <v>45717</v>
      </c>
      <c r="B8" s="4">
        <v>98.4</v>
      </c>
      <c r="C8" s="4">
        <v>99</v>
      </c>
      <c r="D8" s="4">
        <v>2.48</v>
      </c>
      <c r="E8" s="4">
        <v>0.26</v>
      </c>
      <c r="F8" s="4">
        <v>0.27300000000000002</v>
      </c>
      <c r="G8" s="4">
        <f t="shared" si="0"/>
        <v>0.60975609756096982</v>
      </c>
      <c r="H8" s="5"/>
    </row>
    <row r="9" spans="1:8" x14ac:dyDescent="0.2">
      <c r="A9" s="3">
        <v>45748</v>
      </c>
      <c r="B9" s="4">
        <v>284</v>
      </c>
      <c r="C9" s="4">
        <v>287</v>
      </c>
      <c r="D9" s="4">
        <v>7.82</v>
      </c>
      <c r="E9" s="4">
        <v>0.34</v>
      </c>
      <c r="F9" s="4">
        <v>0.85499999999999998</v>
      </c>
      <c r="G9" s="4">
        <f t="shared" si="0"/>
        <v>1.056338028169014</v>
      </c>
      <c r="H9" s="5"/>
    </row>
    <row r="10" spans="1:8" x14ac:dyDescent="0.2">
      <c r="A10" s="3">
        <v>45778</v>
      </c>
      <c r="B10" s="4">
        <v>190</v>
      </c>
      <c r="C10" s="4">
        <v>191</v>
      </c>
      <c r="D10" s="4">
        <v>5.59</v>
      </c>
      <c r="E10" s="4">
        <v>0.16</v>
      </c>
      <c r="F10" s="4">
        <v>0.61</v>
      </c>
      <c r="G10" s="4">
        <f t="shared" si="0"/>
        <v>0.52631578947368418</v>
      </c>
      <c r="H10" s="5"/>
    </row>
    <row r="11" spans="1:8" x14ac:dyDescent="0.2">
      <c r="A11" s="3">
        <v>45809</v>
      </c>
      <c r="B11" s="4">
        <v>33.6</v>
      </c>
      <c r="C11" s="4">
        <v>34</v>
      </c>
      <c r="D11" s="4">
        <v>1.0900000000000001</v>
      </c>
      <c r="E11" s="4">
        <v>0.37</v>
      </c>
      <c r="F11" s="4">
        <v>0.11600000000000001</v>
      </c>
      <c r="G11" s="4">
        <f t="shared" si="0"/>
        <v>1.1904761904761862</v>
      </c>
      <c r="H11" s="5"/>
    </row>
    <row r="12" spans="1:8" x14ac:dyDescent="0.2">
      <c r="A12" s="3">
        <v>45839</v>
      </c>
      <c r="B12" s="4">
        <v>295</v>
      </c>
      <c r="C12" s="4">
        <v>297</v>
      </c>
      <c r="D12" s="4">
        <v>9.19</v>
      </c>
      <c r="E12" s="4">
        <v>0.23</v>
      </c>
      <c r="F12" s="4">
        <v>1.05</v>
      </c>
      <c r="G12" s="4">
        <f t="shared" si="0"/>
        <v>0.67796610169491522</v>
      </c>
      <c r="H12" s="5"/>
    </row>
    <row r="13" spans="1:8" x14ac:dyDescent="0.2">
      <c r="A13" s="3">
        <v>45870</v>
      </c>
      <c r="B13" s="4">
        <v>111</v>
      </c>
      <c r="C13" s="4">
        <v>112</v>
      </c>
      <c r="D13" s="4">
        <v>3.32</v>
      </c>
      <c r="E13" s="4">
        <v>0.41</v>
      </c>
      <c r="F13" s="4">
        <v>0.34699999999999998</v>
      </c>
      <c r="G13" s="4">
        <f t="shared" si="0"/>
        <v>0.90090090090090091</v>
      </c>
      <c r="H13" s="5"/>
    </row>
    <row r="14" spans="1:8" x14ac:dyDescent="0.2">
      <c r="A14" s="3">
        <v>45901</v>
      </c>
      <c r="B14" s="4">
        <v>41.1</v>
      </c>
      <c r="C14" s="4">
        <v>39</v>
      </c>
      <c r="D14" s="4">
        <v>1.5</v>
      </c>
      <c r="E14" s="4">
        <v>-1.43</v>
      </c>
      <c r="F14" s="4">
        <v>0.153</v>
      </c>
      <c r="G14" s="4">
        <f t="shared" si="0"/>
        <v>-5.1094890510948936</v>
      </c>
      <c r="H14" s="5"/>
    </row>
    <row r="15" spans="1:8" x14ac:dyDescent="0.2">
      <c r="A15" s="3">
        <v>45931</v>
      </c>
      <c r="B15" s="4">
        <v>199</v>
      </c>
      <c r="C15" s="4">
        <v>201</v>
      </c>
      <c r="D15" s="4">
        <v>6.88</v>
      </c>
      <c r="E15" s="4">
        <v>0.28999999999999998</v>
      </c>
      <c r="F15" s="4">
        <v>0.69799999999999995</v>
      </c>
      <c r="G15" s="4">
        <f t="shared" si="0"/>
        <v>1.0050251256281406</v>
      </c>
      <c r="H15" s="5"/>
    </row>
    <row r="16" spans="1:8" x14ac:dyDescent="0.2">
      <c r="A16" s="3">
        <v>45962</v>
      </c>
      <c r="B16" s="4">
        <v>110</v>
      </c>
      <c r="C16" s="4">
        <v>109</v>
      </c>
      <c r="D16" s="4">
        <v>3.16</v>
      </c>
      <c r="E16" s="4">
        <v>-0.31</v>
      </c>
      <c r="F16" s="4">
        <v>0.32200000000000001</v>
      </c>
      <c r="G16" s="4">
        <f t="shared" si="0"/>
        <v>-0.90909090909090906</v>
      </c>
      <c r="H16" s="5"/>
    </row>
    <row r="17" spans="1:8" x14ac:dyDescent="0.2">
      <c r="A17" s="3">
        <v>45992</v>
      </c>
      <c r="B17" s="4">
        <v>41.1</v>
      </c>
      <c r="C17" s="4">
        <v>42</v>
      </c>
      <c r="D17" s="4">
        <v>1.41</v>
      </c>
      <c r="E17" s="4">
        <v>0.64</v>
      </c>
      <c r="F17" s="4">
        <v>0.14399999999999999</v>
      </c>
      <c r="G17" s="4">
        <f t="shared" si="0"/>
        <v>2.1897810218978067</v>
      </c>
      <c r="H17" s="5"/>
    </row>
  </sheetData>
  <mergeCells count="1">
    <mergeCell ref="F1:H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7"/>
  <sheetViews>
    <sheetView workbookViewId="0">
      <selection activeCell="F6" sqref="F6:F17"/>
    </sheetView>
  </sheetViews>
  <sheetFormatPr baseColWidth="10" defaultColWidth="11" defaultRowHeight="16" x14ac:dyDescent="0.2"/>
  <sheetData>
    <row r="1" spans="1:8" x14ac:dyDescent="0.2">
      <c r="A1" s="5"/>
      <c r="B1" s="5"/>
      <c r="C1" s="5"/>
      <c r="D1" s="5"/>
      <c r="E1" s="5"/>
      <c r="F1" s="7" t="s">
        <v>0</v>
      </c>
      <c r="G1" s="7"/>
      <c r="H1" s="7"/>
    </row>
    <row r="2" spans="1:8" x14ac:dyDescent="0.2">
      <c r="A2" s="5"/>
      <c r="B2" s="5"/>
      <c r="C2" s="5"/>
      <c r="D2" s="5"/>
      <c r="E2" s="5"/>
      <c r="F2" s="7"/>
      <c r="G2" s="7"/>
      <c r="H2" s="7"/>
    </row>
    <row r="3" spans="1:8" x14ac:dyDescent="0.2">
      <c r="A3" s="5"/>
      <c r="B3" s="5"/>
      <c r="C3" s="5"/>
      <c r="D3" s="5"/>
      <c r="E3" s="5"/>
      <c r="F3" s="7"/>
      <c r="G3" s="7"/>
      <c r="H3" s="7"/>
    </row>
    <row r="4" spans="1:8" x14ac:dyDescent="0.2">
      <c r="A4" s="5"/>
      <c r="B4" s="5"/>
      <c r="C4" s="5"/>
      <c r="D4" s="5"/>
      <c r="E4" s="5"/>
      <c r="F4" s="5"/>
      <c r="G4" s="5"/>
      <c r="H4" s="5"/>
    </row>
    <row r="5" spans="1:8" x14ac:dyDescent="0.2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5"/>
    </row>
    <row r="6" spans="1:8" x14ac:dyDescent="0.2">
      <c r="A6" s="3">
        <v>45658</v>
      </c>
      <c r="B6" s="4">
        <v>14.8</v>
      </c>
      <c r="C6" s="4">
        <v>14.92</v>
      </c>
      <c r="D6" s="4">
        <v>0.28599999999999998</v>
      </c>
      <c r="E6" s="4">
        <v>0.48</v>
      </c>
      <c r="F6" s="4">
        <v>2.4E-2</v>
      </c>
      <c r="G6" s="4">
        <f>((C6-B6)/B6)*100</f>
        <v>0.81081081081080553</v>
      </c>
      <c r="H6" s="5"/>
    </row>
    <row r="7" spans="1:8" x14ac:dyDescent="0.2">
      <c r="A7" s="3">
        <v>45689</v>
      </c>
      <c r="B7" s="4">
        <v>11.7</v>
      </c>
      <c r="C7" s="4">
        <v>11.7</v>
      </c>
      <c r="D7" s="4">
        <v>0.22800000000000001</v>
      </c>
      <c r="E7" s="4">
        <v>0.05</v>
      </c>
      <c r="F7" s="4">
        <v>0.02</v>
      </c>
      <c r="G7" s="4">
        <f t="shared" ref="G7:G17" si="0">((C7-B7)/B7)*100</f>
        <v>0</v>
      </c>
      <c r="H7" s="5"/>
    </row>
    <row r="8" spans="1:8" x14ac:dyDescent="0.2">
      <c r="A8" s="3">
        <v>45717</v>
      </c>
      <c r="B8" s="4">
        <v>8.24</v>
      </c>
      <c r="C8" s="4">
        <v>8.31</v>
      </c>
      <c r="D8" s="4">
        <v>0.17799999999999999</v>
      </c>
      <c r="E8" s="4">
        <v>0.39</v>
      </c>
      <c r="F8" s="4">
        <v>1.4999999999999999E-2</v>
      </c>
      <c r="G8" s="4">
        <f t="shared" si="0"/>
        <v>0.84951456310679951</v>
      </c>
      <c r="H8" s="5"/>
    </row>
    <row r="9" spans="1:8" x14ac:dyDescent="0.2">
      <c r="A9" s="3">
        <v>45748</v>
      </c>
      <c r="B9" s="4">
        <v>14.8</v>
      </c>
      <c r="C9" s="4">
        <v>14.74</v>
      </c>
      <c r="D9" s="4">
        <v>0.33</v>
      </c>
      <c r="E9" s="4">
        <v>0.3</v>
      </c>
      <c r="F9" s="4">
        <v>2.5999999999999999E-2</v>
      </c>
      <c r="G9" s="4">
        <f t="shared" si="0"/>
        <v>-0.4054054054054087</v>
      </c>
      <c r="H9" s="5"/>
    </row>
    <row r="10" spans="1:8" x14ac:dyDescent="0.2">
      <c r="A10" s="3">
        <v>45778</v>
      </c>
      <c r="B10" s="4">
        <v>11.7</v>
      </c>
      <c r="C10" s="4">
        <v>11.57</v>
      </c>
      <c r="D10" s="4">
        <v>0.23200000000000001</v>
      </c>
      <c r="E10" s="4">
        <v>-0.46</v>
      </c>
      <c r="F10" s="4">
        <v>0.02</v>
      </c>
      <c r="G10" s="4">
        <f t="shared" si="0"/>
        <v>-1.1111111111111027</v>
      </c>
      <c r="H10" s="5"/>
    </row>
    <row r="11" spans="1:8" x14ac:dyDescent="0.2">
      <c r="A11" s="3">
        <v>45809</v>
      </c>
      <c r="B11" s="4">
        <v>5.92</v>
      </c>
      <c r="C11" s="4">
        <v>5.91</v>
      </c>
      <c r="D11" s="4">
        <v>0.127</v>
      </c>
      <c r="E11" s="4">
        <v>-0.08</v>
      </c>
      <c r="F11" s="4">
        <v>1.0999999999999999E-2</v>
      </c>
      <c r="G11" s="4">
        <f t="shared" si="0"/>
        <v>-0.16891891891891533</v>
      </c>
      <c r="H11" s="5"/>
    </row>
    <row r="12" spans="1:8" x14ac:dyDescent="0.2">
      <c r="A12" s="3">
        <v>45839</v>
      </c>
      <c r="B12" s="4">
        <v>14</v>
      </c>
      <c r="C12" s="4">
        <v>13.65</v>
      </c>
      <c r="D12" s="4">
        <v>0.28399999999999997</v>
      </c>
      <c r="E12" s="4">
        <v>-1.1299999999999999</v>
      </c>
      <c r="F12" s="4">
        <v>2.5999999999999999E-2</v>
      </c>
      <c r="G12" s="4">
        <f t="shared" si="0"/>
        <v>-2.4999999999999973</v>
      </c>
      <c r="H12" s="5"/>
    </row>
    <row r="13" spans="1:8" x14ac:dyDescent="0.2">
      <c r="A13" s="3">
        <v>45870</v>
      </c>
      <c r="B13" s="4">
        <v>8.0500000000000007</v>
      </c>
      <c r="C13" s="4">
        <v>8.09</v>
      </c>
      <c r="D13" s="4">
        <v>0.16900000000000001</v>
      </c>
      <c r="E13" s="4">
        <v>0.21</v>
      </c>
      <c r="F13" s="4">
        <v>1.4999999999999999E-2</v>
      </c>
      <c r="G13" s="4">
        <f t="shared" si="0"/>
        <v>0.49689440993787753</v>
      </c>
      <c r="H13" s="5"/>
    </row>
    <row r="14" spans="1:8" x14ac:dyDescent="0.2">
      <c r="A14" s="3">
        <v>45901</v>
      </c>
      <c r="B14" s="4">
        <v>5.91</v>
      </c>
      <c r="C14" s="4">
        <v>5.69</v>
      </c>
      <c r="D14" s="4">
        <v>0.13800000000000001</v>
      </c>
      <c r="E14" s="4">
        <v>-1.61</v>
      </c>
      <c r="F14" s="4">
        <v>1.0999999999999999E-2</v>
      </c>
      <c r="G14" s="4">
        <f t="shared" si="0"/>
        <v>-3.7225042301184388</v>
      </c>
      <c r="H14" s="5"/>
    </row>
    <row r="15" spans="1:8" x14ac:dyDescent="0.2">
      <c r="A15" s="3">
        <v>45931</v>
      </c>
      <c r="B15" s="4">
        <v>11.2</v>
      </c>
      <c r="C15" s="4">
        <v>11.33</v>
      </c>
      <c r="D15" s="4">
        <v>0.24099999999999999</v>
      </c>
      <c r="E15" s="4">
        <v>0.5</v>
      </c>
      <c r="F15" s="4">
        <v>0.02</v>
      </c>
      <c r="G15" s="4">
        <f t="shared" si="0"/>
        <v>1.1607142857142927</v>
      </c>
      <c r="H15" s="5"/>
    </row>
    <row r="16" spans="1:8" x14ac:dyDescent="0.2">
      <c r="A16" s="3">
        <v>45962</v>
      </c>
      <c r="B16" s="4">
        <v>8.06</v>
      </c>
      <c r="C16" s="4">
        <v>8.18</v>
      </c>
      <c r="D16" s="4">
        <v>0.16900000000000001</v>
      </c>
      <c r="E16" s="4">
        <v>0.68</v>
      </c>
      <c r="F16" s="4">
        <v>1.4E-2</v>
      </c>
      <c r="G16" s="4">
        <f t="shared" si="0"/>
        <v>1.4888337468982533</v>
      </c>
      <c r="H16" s="5"/>
    </row>
    <row r="17" spans="1:8" x14ac:dyDescent="0.2">
      <c r="A17" s="3">
        <v>45992</v>
      </c>
      <c r="B17" s="4">
        <v>5.93</v>
      </c>
      <c r="C17" s="4">
        <v>5.91</v>
      </c>
      <c r="D17" s="4">
        <v>0.124</v>
      </c>
      <c r="E17" s="4">
        <v>-0.19</v>
      </c>
      <c r="F17" s="4">
        <v>0.01</v>
      </c>
      <c r="G17" s="4">
        <f t="shared" si="0"/>
        <v>-0.33726812816188151</v>
      </c>
      <c r="H17" s="5"/>
    </row>
  </sheetData>
  <mergeCells count="1">
    <mergeCell ref="F1:H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7"/>
  <sheetViews>
    <sheetView workbookViewId="0">
      <selection activeCell="F6" sqref="F6:F17"/>
    </sheetView>
  </sheetViews>
  <sheetFormatPr baseColWidth="10" defaultColWidth="11" defaultRowHeight="16" x14ac:dyDescent="0.2"/>
  <sheetData>
    <row r="1" spans="1:8" x14ac:dyDescent="0.2">
      <c r="A1" s="5"/>
      <c r="B1" s="5"/>
      <c r="C1" s="5"/>
      <c r="D1" s="5"/>
      <c r="E1" s="5"/>
      <c r="F1" s="7" t="s">
        <v>0</v>
      </c>
      <c r="G1" s="7"/>
      <c r="H1" s="7"/>
    </row>
    <row r="2" spans="1:8" x14ac:dyDescent="0.2">
      <c r="A2" s="5"/>
      <c r="B2" s="5"/>
      <c r="C2" s="5"/>
      <c r="D2" s="5"/>
      <c r="E2" s="5"/>
      <c r="F2" s="7"/>
      <c r="G2" s="7"/>
      <c r="H2" s="7"/>
    </row>
    <row r="3" spans="1:8" x14ac:dyDescent="0.2">
      <c r="A3" s="5"/>
      <c r="B3" s="5"/>
      <c r="C3" s="5"/>
      <c r="D3" s="5"/>
      <c r="E3" s="5"/>
      <c r="F3" s="7"/>
      <c r="G3" s="7"/>
      <c r="H3" s="7"/>
    </row>
    <row r="4" spans="1:8" x14ac:dyDescent="0.2">
      <c r="A4" s="5"/>
      <c r="B4" s="5"/>
      <c r="C4" s="5"/>
      <c r="D4" s="5"/>
      <c r="E4" s="5"/>
      <c r="F4" s="5"/>
      <c r="G4" s="5"/>
      <c r="H4" s="5"/>
    </row>
    <row r="5" spans="1:8" x14ac:dyDescent="0.2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5"/>
    </row>
    <row r="6" spans="1:8" x14ac:dyDescent="0.2">
      <c r="A6" s="3">
        <v>45658</v>
      </c>
      <c r="B6" s="4">
        <v>199</v>
      </c>
      <c r="C6" s="4">
        <v>210</v>
      </c>
      <c r="D6" s="4">
        <v>6.01</v>
      </c>
      <c r="E6" s="4">
        <v>1.82</v>
      </c>
      <c r="F6" s="4">
        <v>0.64300000000000002</v>
      </c>
      <c r="G6" s="4">
        <f>((C6-B6)/B6)*100</f>
        <v>5.5276381909547743</v>
      </c>
      <c r="H6" s="5"/>
    </row>
    <row r="7" spans="1:8" x14ac:dyDescent="0.2">
      <c r="A7" s="3">
        <v>45689</v>
      </c>
      <c r="B7" s="4">
        <v>138</v>
      </c>
      <c r="C7" s="4">
        <v>141</v>
      </c>
      <c r="D7" s="4">
        <v>3.96</v>
      </c>
      <c r="E7" s="4">
        <v>138</v>
      </c>
      <c r="F7" s="4">
        <v>0.42899999999999999</v>
      </c>
      <c r="G7" s="4">
        <f t="shared" ref="G7:G17" si="0">((C7-B7)/B7)*100</f>
        <v>2.1739130434782608</v>
      </c>
      <c r="H7" s="5"/>
    </row>
    <row r="8" spans="1:8" x14ac:dyDescent="0.2">
      <c r="A8" s="3">
        <v>45717</v>
      </c>
      <c r="B8" s="4">
        <v>71.7</v>
      </c>
      <c r="C8" s="4">
        <v>71</v>
      </c>
      <c r="D8" s="4">
        <v>2.2200000000000002</v>
      </c>
      <c r="E8" s="4">
        <v>-0.33</v>
      </c>
      <c r="F8" s="4">
        <v>0.24</v>
      </c>
      <c r="G8" s="4">
        <f t="shared" si="0"/>
        <v>-0.97629009762901364</v>
      </c>
      <c r="H8" s="5"/>
    </row>
    <row r="9" spans="1:8" x14ac:dyDescent="0.2">
      <c r="A9" s="3">
        <v>45748</v>
      </c>
      <c r="B9" s="4">
        <v>199</v>
      </c>
      <c r="C9" s="4">
        <v>202</v>
      </c>
      <c r="D9" s="4">
        <v>5.67</v>
      </c>
      <c r="E9" s="4">
        <v>0.61</v>
      </c>
      <c r="F9" s="4">
        <v>0.60799999999999998</v>
      </c>
      <c r="G9" s="4">
        <f t="shared" si="0"/>
        <v>1.5075376884422109</v>
      </c>
      <c r="H9" s="5"/>
    </row>
    <row r="10" spans="1:8" x14ac:dyDescent="0.2">
      <c r="A10" s="3">
        <v>45778</v>
      </c>
      <c r="B10" s="4">
        <v>139</v>
      </c>
      <c r="C10" s="4">
        <v>139</v>
      </c>
      <c r="D10" s="4">
        <v>3.76</v>
      </c>
      <c r="E10" s="4">
        <v>0.09</v>
      </c>
      <c r="F10" s="4">
        <v>0.40300000000000002</v>
      </c>
      <c r="G10" s="4">
        <f t="shared" si="0"/>
        <v>0</v>
      </c>
      <c r="H10" s="5"/>
    </row>
    <row r="11" spans="1:8" x14ac:dyDescent="0.2">
      <c r="A11" s="3">
        <v>45809</v>
      </c>
      <c r="B11" s="4">
        <v>28.8</v>
      </c>
      <c r="C11" s="4">
        <v>29</v>
      </c>
      <c r="D11" s="4">
        <v>0.94499999999999995</v>
      </c>
      <c r="E11" s="4">
        <v>0.26</v>
      </c>
      <c r="F11" s="4">
        <v>9.9000000000000005E-2</v>
      </c>
      <c r="G11" s="4">
        <f t="shared" si="0"/>
        <v>0.69444444444444198</v>
      </c>
      <c r="H11" s="5"/>
    </row>
    <row r="12" spans="1:8" x14ac:dyDescent="0.2">
      <c r="A12" s="3">
        <v>45839</v>
      </c>
      <c r="B12" s="4">
        <v>30.8</v>
      </c>
      <c r="C12" s="4">
        <v>32</v>
      </c>
      <c r="D12" s="4">
        <v>1.32</v>
      </c>
      <c r="E12" s="4">
        <v>0.94</v>
      </c>
      <c r="F12" s="4">
        <v>0.14699999999999999</v>
      </c>
      <c r="G12" s="4">
        <f t="shared" si="0"/>
        <v>3.8961038961038938</v>
      </c>
      <c r="H12" s="5"/>
    </row>
    <row r="13" spans="1:8" x14ac:dyDescent="0.2">
      <c r="A13" s="3">
        <v>45870</v>
      </c>
      <c r="B13" s="4">
        <v>464</v>
      </c>
      <c r="C13" s="4">
        <v>469</v>
      </c>
      <c r="D13" s="4">
        <v>12.8</v>
      </c>
      <c r="E13" s="4">
        <v>0.42</v>
      </c>
      <c r="F13" s="4">
        <v>1.31</v>
      </c>
      <c r="G13" s="4">
        <f t="shared" si="0"/>
        <v>1.0775862068965518</v>
      </c>
      <c r="H13" s="5"/>
    </row>
    <row r="14" spans="1:8" x14ac:dyDescent="0.2">
      <c r="A14" s="3">
        <v>45901</v>
      </c>
      <c r="B14" s="4">
        <v>211</v>
      </c>
      <c r="C14" s="4">
        <v>205</v>
      </c>
      <c r="D14" s="4">
        <v>6.45</v>
      </c>
      <c r="E14" s="4">
        <v>-0.93</v>
      </c>
      <c r="F14" s="4">
        <v>0.65</v>
      </c>
      <c r="G14" s="4">
        <f t="shared" si="0"/>
        <v>-2.8436018957345972</v>
      </c>
      <c r="H14" s="5"/>
    </row>
    <row r="15" spans="1:8" x14ac:dyDescent="0.2">
      <c r="A15" s="3">
        <v>45931</v>
      </c>
      <c r="B15" s="4">
        <v>89.4</v>
      </c>
      <c r="C15" s="4">
        <v>89</v>
      </c>
      <c r="D15" s="4">
        <v>2.59</v>
      </c>
      <c r="E15" s="4">
        <v>-0.16</v>
      </c>
      <c r="F15" s="4">
        <v>0.26</v>
      </c>
      <c r="G15" s="4">
        <f t="shared" si="0"/>
        <v>-0.44742729306488327</v>
      </c>
      <c r="H15" s="5"/>
    </row>
    <row r="16" spans="1:8" x14ac:dyDescent="0.2">
      <c r="A16" s="3">
        <v>45962</v>
      </c>
      <c r="B16" s="4">
        <v>460</v>
      </c>
      <c r="C16" s="4">
        <v>454</v>
      </c>
      <c r="D16" s="4">
        <v>10.8</v>
      </c>
      <c r="E16" s="4">
        <v>-0.52</v>
      </c>
      <c r="F16" s="4">
        <v>1.0900000000000001</v>
      </c>
      <c r="G16" s="4">
        <f t="shared" si="0"/>
        <v>-1.3043478260869565</v>
      </c>
      <c r="H16" s="5"/>
    </row>
    <row r="17" spans="1:8" x14ac:dyDescent="0.2">
      <c r="A17" s="3">
        <v>45992</v>
      </c>
      <c r="B17" s="4">
        <v>210</v>
      </c>
      <c r="C17" s="4">
        <v>212</v>
      </c>
      <c r="D17" s="4">
        <v>4.84</v>
      </c>
      <c r="E17" s="4">
        <v>0.38</v>
      </c>
      <c r="F17" s="4">
        <v>0.48599999999999999</v>
      </c>
      <c r="G17" s="4">
        <f t="shared" si="0"/>
        <v>0.95238095238095244</v>
      </c>
      <c r="H17" s="5"/>
    </row>
  </sheetData>
  <mergeCells count="1">
    <mergeCell ref="F1:H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7"/>
  <sheetViews>
    <sheetView workbookViewId="0">
      <selection activeCell="F6" sqref="F6:F17"/>
    </sheetView>
  </sheetViews>
  <sheetFormatPr baseColWidth="10" defaultColWidth="11" defaultRowHeight="16" x14ac:dyDescent="0.2"/>
  <sheetData>
    <row r="1" spans="1:8" x14ac:dyDescent="0.2">
      <c r="A1" s="5"/>
      <c r="B1" s="5"/>
      <c r="C1" s="5"/>
      <c r="D1" s="5"/>
      <c r="E1" s="5"/>
      <c r="F1" s="7" t="s">
        <v>0</v>
      </c>
      <c r="G1" s="7"/>
      <c r="H1" s="7"/>
    </row>
    <row r="2" spans="1:8" x14ac:dyDescent="0.2">
      <c r="A2" s="5"/>
      <c r="B2" s="5"/>
      <c r="C2" s="5"/>
      <c r="D2" s="5"/>
      <c r="E2" s="5"/>
      <c r="F2" s="7"/>
      <c r="G2" s="7"/>
      <c r="H2" s="7"/>
    </row>
    <row r="3" spans="1:8" x14ac:dyDescent="0.2">
      <c r="A3" s="5"/>
      <c r="B3" s="5"/>
      <c r="C3" s="5"/>
      <c r="D3" s="5"/>
      <c r="E3" s="5"/>
      <c r="F3" s="7"/>
      <c r="G3" s="7"/>
      <c r="H3" s="7"/>
    </row>
    <row r="4" spans="1:8" x14ac:dyDescent="0.2">
      <c r="A4" s="5"/>
      <c r="B4" s="5"/>
      <c r="C4" s="5"/>
      <c r="D4" s="5"/>
      <c r="E4" s="5"/>
      <c r="F4" s="5"/>
      <c r="G4" s="5"/>
      <c r="H4" s="5"/>
    </row>
    <row r="5" spans="1:8" x14ac:dyDescent="0.2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5"/>
    </row>
    <row r="6" spans="1:8" x14ac:dyDescent="0.2">
      <c r="A6" s="3">
        <v>45658</v>
      </c>
      <c r="B6" s="4">
        <v>8.76</v>
      </c>
      <c r="C6" s="4">
        <v>8.65</v>
      </c>
      <c r="D6" s="4">
        <v>0.215</v>
      </c>
      <c r="E6" s="4">
        <v>-0.53</v>
      </c>
      <c r="F6" s="4">
        <v>1.9E-2</v>
      </c>
      <c r="G6" s="4">
        <f>((C6-B6)/B6)*100</f>
        <v>-1.2557077625570712</v>
      </c>
      <c r="H6" s="5"/>
    </row>
    <row r="7" spans="1:8" x14ac:dyDescent="0.2">
      <c r="A7" s="3">
        <v>45689</v>
      </c>
      <c r="B7" s="4">
        <v>6.41</v>
      </c>
      <c r="C7" s="4">
        <v>6.1</v>
      </c>
      <c r="D7" s="4">
        <v>0.16800000000000001</v>
      </c>
      <c r="E7" s="4">
        <v>-1.87</v>
      </c>
      <c r="F7" s="4">
        <v>1.4999999999999999E-2</v>
      </c>
      <c r="G7" s="4">
        <f t="shared" ref="G7:G17" si="0">((C7-B7)/B7)*100</f>
        <v>-4.8361934477379176</v>
      </c>
      <c r="H7" s="5"/>
    </row>
    <row r="8" spans="1:8" x14ac:dyDescent="0.2">
      <c r="A8" s="3">
        <v>45717</v>
      </c>
      <c r="B8" s="4">
        <v>3.81</v>
      </c>
      <c r="C8" s="4">
        <v>3.81</v>
      </c>
      <c r="D8" s="4">
        <v>0.115</v>
      </c>
      <c r="E8" s="4">
        <v>0</v>
      </c>
      <c r="F8" s="4">
        <v>0.01</v>
      </c>
      <c r="G8" s="4">
        <f t="shared" si="0"/>
        <v>0</v>
      </c>
      <c r="H8" s="5"/>
    </row>
    <row r="9" spans="1:8" x14ac:dyDescent="0.2">
      <c r="A9" s="3">
        <v>45748</v>
      </c>
      <c r="B9" s="4">
        <v>8.76</v>
      </c>
      <c r="C9" s="4">
        <v>8.9</v>
      </c>
      <c r="D9" s="4">
        <v>0.20699999999999999</v>
      </c>
      <c r="E9" s="4">
        <v>0.7</v>
      </c>
      <c r="F9" s="4">
        <v>1.9E-2</v>
      </c>
      <c r="G9" s="4">
        <f t="shared" si="0"/>
        <v>1.5981735159817416</v>
      </c>
      <c r="H9" s="5"/>
    </row>
    <row r="10" spans="1:8" x14ac:dyDescent="0.2">
      <c r="A10" s="3">
        <v>45778</v>
      </c>
      <c r="B10" s="4">
        <v>6.42</v>
      </c>
      <c r="C10" s="4">
        <v>6.4</v>
      </c>
      <c r="D10" s="4">
        <v>0.15</v>
      </c>
      <c r="E10" s="4">
        <v>-0.12</v>
      </c>
      <c r="F10" s="4">
        <v>1.2999999999999999E-2</v>
      </c>
      <c r="G10" s="4">
        <f t="shared" si="0"/>
        <v>-0.31152647975077219</v>
      </c>
      <c r="H10" s="5"/>
    </row>
    <row r="11" spans="1:8" x14ac:dyDescent="0.2">
      <c r="A11" s="3">
        <v>45809</v>
      </c>
      <c r="B11" s="4">
        <v>2.11</v>
      </c>
      <c r="C11" s="4">
        <v>2.23</v>
      </c>
      <c r="D11" s="4">
        <v>8.5999999999999993E-2</v>
      </c>
      <c r="E11" s="4">
        <v>1.34</v>
      </c>
      <c r="F11" s="4">
        <v>7.0000000000000001E-3</v>
      </c>
      <c r="G11" s="4">
        <f t="shared" si="0"/>
        <v>5.6872037914691997</v>
      </c>
      <c r="H11" s="5"/>
    </row>
    <row r="12" spans="1:8" x14ac:dyDescent="0.2">
      <c r="A12" s="3">
        <v>45839</v>
      </c>
      <c r="B12" s="4">
        <v>8.0399999999999991</v>
      </c>
      <c r="C12" s="4">
        <v>7.93</v>
      </c>
      <c r="D12" s="4">
        <v>0.224</v>
      </c>
      <c r="E12" s="4">
        <v>-0.48</v>
      </c>
      <c r="F12" s="4">
        <v>2.1000000000000001E-2</v>
      </c>
      <c r="G12" s="4">
        <f t="shared" si="0"/>
        <v>-1.3681592039800925</v>
      </c>
      <c r="H12" s="5"/>
    </row>
    <row r="13" spans="1:8" x14ac:dyDescent="0.2">
      <c r="A13" s="3">
        <v>45870</v>
      </c>
      <c r="B13" s="4">
        <v>3.58</v>
      </c>
      <c r="C13" s="4">
        <v>3.57</v>
      </c>
      <c r="D13" s="4">
        <v>0.11700000000000001</v>
      </c>
      <c r="E13" s="4">
        <v>-0.08</v>
      </c>
      <c r="F13" s="4">
        <v>0.01</v>
      </c>
      <c r="G13" s="4">
        <f t="shared" si="0"/>
        <v>-0.27932960893855391</v>
      </c>
      <c r="H13" s="5"/>
    </row>
    <row r="14" spans="1:8" x14ac:dyDescent="0.2">
      <c r="A14" s="3">
        <v>45901</v>
      </c>
      <c r="B14" s="4">
        <v>1.98</v>
      </c>
      <c r="C14" s="4">
        <v>1.7</v>
      </c>
      <c r="D14" s="4">
        <v>9.0999999999999998E-2</v>
      </c>
      <c r="E14" s="4">
        <v>-0.38</v>
      </c>
      <c r="F14" s="4">
        <v>8.0000000000000002E-3</v>
      </c>
      <c r="G14" s="4">
        <f t="shared" si="0"/>
        <v>-14.141414141414144</v>
      </c>
      <c r="H14" s="5"/>
    </row>
    <row r="15" spans="1:8" x14ac:dyDescent="0.2">
      <c r="A15" s="3">
        <v>45931</v>
      </c>
      <c r="B15" s="4">
        <v>5.96</v>
      </c>
      <c r="C15" s="4">
        <v>6.25</v>
      </c>
      <c r="D15" s="4">
        <v>0.17</v>
      </c>
      <c r="E15" s="4">
        <v>1.72</v>
      </c>
      <c r="F15" s="4">
        <v>1.4999999999999999E-2</v>
      </c>
      <c r="G15" s="4">
        <f t="shared" si="0"/>
        <v>4.8657718120805376</v>
      </c>
      <c r="H15" s="5"/>
    </row>
    <row r="16" spans="1:8" x14ac:dyDescent="0.2">
      <c r="A16" s="3">
        <v>45962</v>
      </c>
      <c r="B16" s="4">
        <v>3.58</v>
      </c>
      <c r="C16" s="4">
        <v>3.54</v>
      </c>
      <c r="D16" s="4">
        <v>0.11899999999999999</v>
      </c>
      <c r="E16" s="4">
        <v>-0.38</v>
      </c>
      <c r="F16" s="4">
        <v>0.01</v>
      </c>
      <c r="G16" s="4">
        <f t="shared" si="0"/>
        <v>-1.1173184357541908</v>
      </c>
      <c r="H16" s="5"/>
    </row>
    <row r="17" spans="1:8" x14ac:dyDescent="0.2">
      <c r="A17" s="3">
        <v>45992</v>
      </c>
      <c r="B17" s="4">
        <v>1.98</v>
      </c>
      <c r="C17" s="4">
        <v>1.99</v>
      </c>
      <c r="D17" s="4">
        <v>8.5999999999999993E-2</v>
      </c>
      <c r="E17" s="4">
        <v>-0.1</v>
      </c>
      <c r="F17" s="4">
        <v>7.0000000000000001E-3</v>
      </c>
      <c r="G17" s="4">
        <f t="shared" si="0"/>
        <v>0.50505050505050553</v>
      </c>
      <c r="H17" s="5"/>
    </row>
  </sheetData>
  <mergeCells count="1">
    <mergeCell ref="F1:H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17"/>
  <sheetViews>
    <sheetView workbookViewId="0">
      <selection activeCell="F6" sqref="F6:F17"/>
    </sheetView>
  </sheetViews>
  <sheetFormatPr baseColWidth="10" defaultColWidth="11" defaultRowHeight="16" x14ac:dyDescent="0.2"/>
  <sheetData>
    <row r="1" spans="1:8" x14ac:dyDescent="0.2">
      <c r="A1" s="5"/>
      <c r="B1" s="5"/>
      <c r="C1" s="5"/>
      <c r="D1" s="5"/>
      <c r="E1" s="5"/>
      <c r="F1" s="7" t="s">
        <v>0</v>
      </c>
      <c r="G1" s="7"/>
      <c r="H1" s="7"/>
    </row>
    <row r="2" spans="1:8" x14ac:dyDescent="0.2">
      <c r="A2" s="5"/>
      <c r="B2" s="5"/>
      <c r="C2" s="5"/>
      <c r="D2" s="5"/>
      <c r="E2" s="5"/>
      <c r="F2" s="7"/>
      <c r="G2" s="7"/>
      <c r="H2" s="7"/>
    </row>
    <row r="3" spans="1:8" x14ac:dyDescent="0.2">
      <c r="A3" s="5"/>
      <c r="B3" s="5"/>
      <c r="C3" s="5"/>
      <c r="D3" s="5"/>
      <c r="E3" s="5"/>
      <c r="F3" s="7"/>
      <c r="G3" s="7"/>
      <c r="H3" s="7"/>
    </row>
    <row r="4" spans="1:8" x14ac:dyDescent="0.2">
      <c r="A4" s="5"/>
      <c r="B4" s="5"/>
      <c r="C4" s="5"/>
      <c r="D4" s="5"/>
      <c r="E4" s="5"/>
      <c r="F4" s="5"/>
      <c r="G4" s="5"/>
      <c r="H4" s="5"/>
    </row>
    <row r="5" spans="1:8" x14ac:dyDescent="0.2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5"/>
    </row>
    <row r="6" spans="1:8" x14ac:dyDescent="0.2">
      <c r="A6" s="3">
        <v>45658</v>
      </c>
      <c r="B6" s="4">
        <v>3.99</v>
      </c>
      <c r="C6" s="4">
        <v>3.97</v>
      </c>
      <c r="D6" s="4">
        <v>0.109</v>
      </c>
      <c r="E6" s="4">
        <v>-0.15</v>
      </c>
      <c r="F6" s="4">
        <v>1.0999999999999999E-2</v>
      </c>
      <c r="G6" s="4">
        <f>((C6-B6)/B6)*100</f>
        <v>-0.50125313283208062</v>
      </c>
      <c r="H6" s="5"/>
    </row>
    <row r="7" spans="1:8" x14ac:dyDescent="0.2">
      <c r="A7" s="3">
        <v>45689</v>
      </c>
      <c r="B7" s="4">
        <v>2.95</v>
      </c>
      <c r="C7" s="4">
        <v>2.93</v>
      </c>
      <c r="D7" s="4">
        <v>7.4999999999999997E-2</v>
      </c>
      <c r="E7" s="4">
        <v>-0.23</v>
      </c>
      <c r="F7" s="4">
        <v>8.0000000000000002E-3</v>
      </c>
      <c r="G7" s="4">
        <f t="shared" ref="G7:G17" si="0">((C7-B7)/B7)*100</f>
        <v>-0.67796610169491589</v>
      </c>
      <c r="H7" s="5"/>
    </row>
    <row r="8" spans="1:8" x14ac:dyDescent="0.2">
      <c r="A8" s="3">
        <v>45717</v>
      </c>
      <c r="B8" s="4">
        <v>1.79</v>
      </c>
      <c r="C8" s="4">
        <v>1.79</v>
      </c>
      <c r="D8" s="4">
        <v>4.4999999999999998E-2</v>
      </c>
      <c r="E8" s="4">
        <v>0.03</v>
      </c>
      <c r="F8" s="4">
        <v>5.0000000000000001E-3</v>
      </c>
      <c r="G8" s="4">
        <f t="shared" si="0"/>
        <v>0</v>
      </c>
      <c r="H8" s="5"/>
    </row>
    <row r="9" spans="1:8" x14ac:dyDescent="0.2">
      <c r="A9" s="3">
        <v>45748</v>
      </c>
      <c r="B9" s="4">
        <v>3.99</v>
      </c>
      <c r="C9" s="4">
        <v>3.95</v>
      </c>
      <c r="D9" s="4">
        <v>0.11</v>
      </c>
      <c r="E9" s="4">
        <v>-0.32</v>
      </c>
      <c r="F9" s="4">
        <v>1.0999999999999999E-2</v>
      </c>
      <c r="G9" s="4">
        <f t="shared" si="0"/>
        <v>-1.0025062656641612</v>
      </c>
      <c r="H9" s="5"/>
    </row>
    <row r="10" spans="1:8" x14ac:dyDescent="0.2">
      <c r="A10" s="3">
        <v>45778</v>
      </c>
      <c r="B10" s="4">
        <v>2.95</v>
      </c>
      <c r="C10" s="4">
        <v>2.91</v>
      </c>
      <c r="D10" s="4">
        <v>7.9000000000000001E-2</v>
      </c>
      <c r="E10" s="4">
        <v>-0.52</v>
      </c>
      <c r="F10" s="4">
        <v>8.0000000000000002E-3</v>
      </c>
      <c r="G10" s="4">
        <f t="shared" si="0"/>
        <v>-1.3559322033898318</v>
      </c>
      <c r="H10" s="5"/>
    </row>
    <row r="11" spans="1:8" x14ac:dyDescent="0.2">
      <c r="A11" s="3">
        <v>45809</v>
      </c>
      <c r="B11" s="4">
        <v>1.01</v>
      </c>
      <c r="C11" s="4">
        <v>1.04</v>
      </c>
      <c r="D11" s="4">
        <v>3.1E-2</v>
      </c>
      <c r="E11" s="4">
        <v>1.1000000000000001</v>
      </c>
      <c r="F11" s="4">
        <v>3.0000000000000001E-3</v>
      </c>
      <c r="G11" s="4">
        <f t="shared" si="0"/>
        <v>2.9702970297029729</v>
      </c>
      <c r="H11" s="5"/>
    </row>
    <row r="12" spans="1:8" x14ac:dyDescent="0.2">
      <c r="A12" s="3">
        <v>45839</v>
      </c>
      <c r="B12" s="4">
        <v>3.85</v>
      </c>
      <c r="C12" s="4">
        <v>3.72</v>
      </c>
      <c r="D12" s="4">
        <v>9.9000000000000005E-2</v>
      </c>
      <c r="E12" s="4">
        <v>-1.3</v>
      </c>
      <c r="F12" s="4">
        <v>1.0999999999999999E-2</v>
      </c>
      <c r="G12" s="4">
        <f t="shared" si="0"/>
        <v>-3.3766233766233738</v>
      </c>
      <c r="H12" s="5"/>
    </row>
    <row r="13" spans="1:8" x14ac:dyDescent="0.2">
      <c r="A13" s="3">
        <v>45870</v>
      </c>
      <c r="B13" s="4">
        <v>1.71</v>
      </c>
      <c r="C13" s="4">
        <v>1.69</v>
      </c>
      <c r="D13" s="4">
        <v>4.5999999999999999E-2</v>
      </c>
      <c r="E13" s="4">
        <v>-0.4</v>
      </c>
      <c r="F13" s="4">
        <v>5.0000000000000001E-3</v>
      </c>
      <c r="G13" s="4">
        <f t="shared" si="0"/>
        <v>-1.1695906432748548</v>
      </c>
      <c r="H13" s="5"/>
    </row>
    <row r="14" spans="1:8" x14ac:dyDescent="0.2">
      <c r="A14" s="3">
        <v>45901</v>
      </c>
      <c r="B14" s="4">
        <v>0.95399999999999996</v>
      </c>
      <c r="C14" s="4">
        <v>0.9</v>
      </c>
      <c r="D14" s="4">
        <v>4.1000000000000002E-2</v>
      </c>
      <c r="E14" s="4">
        <v>-1.31</v>
      </c>
      <c r="F14" s="4">
        <v>4.0000000000000001E-3</v>
      </c>
      <c r="G14" s="4">
        <f t="shared" si="0"/>
        <v>-5.6603773584905603</v>
      </c>
      <c r="H14" s="5"/>
    </row>
    <row r="15" spans="1:8" x14ac:dyDescent="0.2">
      <c r="A15" s="3">
        <v>45931</v>
      </c>
      <c r="B15" s="4">
        <v>2.84</v>
      </c>
      <c r="C15" s="4">
        <v>2.89</v>
      </c>
      <c r="D15" s="4">
        <v>7.8E-2</v>
      </c>
      <c r="E15" s="4">
        <v>0.59</v>
      </c>
      <c r="F15" s="4">
        <v>8.0000000000000002E-3</v>
      </c>
      <c r="G15" s="4">
        <f t="shared" si="0"/>
        <v>1.7605633802816996</v>
      </c>
      <c r="H15" s="5"/>
    </row>
    <row r="16" spans="1:8" x14ac:dyDescent="0.2">
      <c r="A16" s="3">
        <v>45962</v>
      </c>
      <c r="B16" s="4">
        <v>1.71</v>
      </c>
      <c r="C16" s="4">
        <v>1.73</v>
      </c>
      <c r="D16" s="4">
        <v>4.7E-2</v>
      </c>
      <c r="E16" s="4">
        <v>0.49</v>
      </c>
      <c r="F16" s="4">
        <v>5.0000000000000001E-3</v>
      </c>
      <c r="G16" s="4">
        <f t="shared" si="0"/>
        <v>1.1695906432748548</v>
      </c>
      <c r="H16" s="5"/>
    </row>
    <row r="17" spans="1:8" x14ac:dyDescent="0.2">
      <c r="A17" s="3">
        <v>45992</v>
      </c>
      <c r="B17" s="4">
        <v>0.95499999999999996</v>
      </c>
      <c r="C17" s="4">
        <v>0.93</v>
      </c>
      <c r="D17" s="4">
        <v>0.04</v>
      </c>
      <c r="E17" s="4">
        <v>-0.63</v>
      </c>
      <c r="F17" s="4">
        <v>4.0000000000000001E-3</v>
      </c>
      <c r="G17" s="4">
        <f t="shared" si="0"/>
        <v>-2.6178010471204098</v>
      </c>
      <c r="H17" s="5"/>
    </row>
  </sheetData>
  <mergeCells count="1">
    <mergeCell ref="F1:H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7"/>
  <sheetViews>
    <sheetView workbookViewId="0">
      <selection activeCell="F6" sqref="F6:F17"/>
    </sheetView>
  </sheetViews>
  <sheetFormatPr baseColWidth="10" defaultColWidth="11" defaultRowHeight="16" x14ac:dyDescent="0.2"/>
  <sheetData>
    <row r="1" spans="1:8" x14ac:dyDescent="0.2">
      <c r="A1" s="5"/>
      <c r="B1" s="5"/>
      <c r="C1" s="5"/>
      <c r="D1" s="5"/>
      <c r="E1" s="5"/>
      <c r="F1" s="7" t="s">
        <v>0</v>
      </c>
      <c r="G1" s="7"/>
      <c r="H1" s="7"/>
    </row>
    <row r="2" spans="1:8" x14ac:dyDescent="0.2">
      <c r="A2" s="5"/>
      <c r="B2" s="5"/>
      <c r="C2" s="5"/>
      <c r="D2" s="5"/>
      <c r="E2" s="5"/>
      <c r="F2" s="7"/>
      <c r="G2" s="7"/>
      <c r="H2" s="7"/>
    </row>
    <row r="3" spans="1:8" x14ac:dyDescent="0.2">
      <c r="A3" s="5"/>
      <c r="B3" s="5"/>
      <c r="C3" s="5"/>
      <c r="D3" s="5"/>
      <c r="E3" s="5"/>
      <c r="F3" s="7"/>
      <c r="G3" s="7"/>
      <c r="H3" s="7"/>
    </row>
    <row r="4" spans="1:8" x14ac:dyDescent="0.2">
      <c r="A4" s="5"/>
      <c r="B4" s="5"/>
      <c r="C4" s="5"/>
      <c r="D4" s="5"/>
      <c r="E4" s="5"/>
      <c r="F4" s="5"/>
      <c r="G4" s="5"/>
      <c r="H4" s="5"/>
    </row>
    <row r="5" spans="1:8" x14ac:dyDescent="0.2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5"/>
    </row>
    <row r="6" spans="1:8" x14ac:dyDescent="0.2">
      <c r="A6" s="3">
        <v>45658</v>
      </c>
      <c r="B6" s="4">
        <v>9.1999999999999993</v>
      </c>
      <c r="C6" s="4">
        <v>9.19</v>
      </c>
      <c r="D6" s="4">
        <v>0.184</v>
      </c>
      <c r="E6" s="4">
        <f>0.03</f>
        <v>0.03</v>
      </c>
      <c r="F6" s="4">
        <v>1.4999999999999999E-2</v>
      </c>
      <c r="G6" s="4">
        <f>((C6-B6)/B6)*100</f>
        <v>-0.10869565217391072</v>
      </c>
      <c r="H6" s="5"/>
    </row>
    <row r="7" spans="1:8" x14ac:dyDescent="0.2">
      <c r="A7" s="3">
        <v>45689</v>
      </c>
      <c r="B7" s="4">
        <v>7.16</v>
      </c>
      <c r="C7" s="4">
        <v>6.93</v>
      </c>
      <c r="D7" s="4">
        <v>0.153</v>
      </c>
      <c r="E7" s="4">
        <v>-1.5</v>
      </c>
      <c r="F7" s="4">
        <v>1.2E-2</v>
      </c>
      <c r="G7" s="4">
        <f t="shared" ref="G7:G17" si="0">((C7-B7)/B7)*100</f>
        <v>-3.2122905027933015</v>
      </c>
      <c r="H7" s="5"/>
    </row>
    <row r="8" spans="1:8" x14ac:dyDescent="0.2">
      <c r="A8" s="3">
        <v>45717</v>
      </c>
      <c r="B8" s="4">
        <v>4.8600000000000003</v>
      </c>
      <c r="C8" s="4">
        <v>4.9000000000000004</v>
      </c>
      <c r="D8" s="4">
        <v>0.1</v>
      </c>
      <c r="E8" s="4">
        <v>0.45</v>
      </c>
      <c r="F8" s="4">
        <v>8.0000000000000002E-3</v>
      </c>
      <c r="G8" s="4">
        <f t="shared" si="0"/>
        <v>0.82304526748971252</v>
      </c>
      <c r="H8" s="5"/>
    </row>
    <row r="9" spans="1:8" x14ac:dyDescent="0.2">
      <c r="A9" s="3">
        <v>45748</v>
      </c>
      <c r="B9" s="4">
        <v>9.1999999999999993</v>
      </c>
      <c r="C9" s="4">
        <v>9.18</v>
      </c>
      <c r="D9" s="4">
        <v>0.18</v>
      </c>
      <c r="E9" s="4">
        <v>-0.14000000000000001</v>
      </c>
      <c r="F9" s="4">
        <v>1.4E-2</v>
      </c>
      <c r="G9" s="4">
        <f t="shared" si="0"/>
        <v>-0.21739130434782145</v>
      </c>
      <c r="H9" s="5"/>
    </row>
    <row r="10" spans="1:8" x14ac:dyDescent="0.2">
      <c r="A10" s="3">
        <v>45778</v>
      </c>
      <c r="B10" s="4">
        <v>7.15</v>
      </c>
      <c r="C10" s="4">
        <v>7</v>
      </c>
      <c r="D10" s="4">
        <v>0.14399999999999999</v>
      </c>
      <c r="E10" s="4">
        <v>-1.06</v>
      </c>
      <c r="F10" s="4">
        <v>1.0999999999999999E-2</v>
      </c>
      <c r="G10" s="4">
        <f t="shared" si="0"/>
        <v>-2.0979020979021028</v>
      </c>
      <c r="H10" s="5"/>
    </row>
    <row r="11" spans="1:8" x14ac:dyDescent="0.2">
      <c r="A11" s="3">
        <v>45809</v>
      </c>
      <c r="B11" s="4">
        <v>3.3</v>
      </c>
      <c r="C11" s="4">
        <v>3.18</v>
      </c>
      <c r="D11" s="4">
        <v>0.08</v>
      </c>
      <c r="E11" s="4">
        <v>-1.51</v>
      </c>
      <c r="F11" s="4">
        <v>6.0000000000000001E-3</v>
      </c>
      <c r="G11" s="4">
        <f t="shared" si="0"/>
        <v>-3.6363636363636265</v>
      </c>
      <c r="H11" s="5"/>
    </row>
    <row r="12" spans="1:8" x14ac:dyDescent="0.2">
      <c r="A12" s="3">
        <v>45839</v>
      </c>
      <c r="B12" s="4">
        <v>9.14</v>
      </c>
      <c r="C12" s="4">
        <v>8.9</v>
      </c>
      <c r="D12" s="4">
        <v>0.215</v>
      </c>
      <c r="E12" s="4">
        <v>-0.1</v>
      </c>
      <c r="F12" s="4">
        <v>1.7999999999999999E-2</v>
      </c>
      <c r="G12" s="4">
        <f t="shared" si="0"/>
        <v>-2.6258205689277925</v>
      </c>
      <c r="H12" s="5"/>
    </row>
    <row r="13" spans="1:8" x14ac:dyDescent="0.2">
      <c r="A13" s="3">
        <v>45870</v>
      </c>
      <c r="B13" s="4">
        <v>4.9000000000000004</v>
      </c>
      <c r="C13" s="4">
        <v>4.87</v>
      </c>
      <c r="D13" s="4">
        <v>0.122</v>
      </c>
      <c r="E13" s="4">
        <v>-0.2</v>
      </c>
      <c r="F13" s="4">
        <v>0.01</v>
      </c>
      <c r="G13" s="4">
        <f t="shared" si="0"/>
        <v>-0.61224489795918868</v>
      </c>
      <c r="H13" s="5"/>
    </row>
    <row r="14" spans="1:8" x14ac:dyDescent="0.2">
      <c r="A14" s="3">
        <v>45901</v>
      </c>
      <c r="B14" s="4">
        <v>3.35</v>
      </c>
      <c r="C14" s="4">
        <v>3.24</v>
      </c>
      <c r="D14" s="4">
        <v>7.8E-2</v>
      </c>
      <c r="E14" s="4">
        <v>-1.4</v>
      </c>
      <c r="F14" s="4">
        <v>6.0000000000000001E-3</v>
      </c>
      <c r="G14" s="4">
        <f t="shared" si="0"/>
        <v>-3.2835820895522354</v>
      </c>
      <c r="H14" s="5"/>
    </row>
    <row r="15" spans="1:8" x14ac:dyDescent="0.2">
      <c r="A15" s="3">
        <v>45931</v>
      </c>
      <c r="B15" s="4">
        <v>7.16</v>
      </c>
      <c r="C15" s="4">
        <v>7.37</v>
      </c>
      <c r="D15" s="4">
        <v>0.151</v>
      </c>
      <c r="E15" s="4">
        <v>1.39</v>
      </c>
      <c r="F15" s="4">
        <v>1.2E-2</v>
      </c>
      <c r="G15" s="4">
        <f t="shared" si="0"/>
        <v>2.932960893854748</v>
      </c>
      <c r="H15" s="5"/>
    </row>
    <row r="16" spans="1:8" x14ac:dyDescent="0.2">
      <c r="A16" s="3">
        <v>45962</v>
      </c>
      <c r="B16" s="4">
        <v>4.91</v>
      </c>
      <c r="C16" s="4">
        <v>4.8600000000000003</v>
      </c>
      <c r="D16" s="4">
        <v>0.109</v>
      </c>
      <c r="E16" s="4">
        <v>-0.42</v>
      </c>
      <c r="F16" s="4">
        <v>8.0000000000000002E-3</v>
      </c>
      <c r="G16" s="4">
        <f t="shared" si="0"/>
        <v>-1.0183299389002001</v>
      </c>
      <c r="H16" s="5"/>
    </row>
    <row r="17" spans="1:8" x14ac:dyDescent="0.2">
      <c r="A17" s="3">
        <v>45992</v>
      </c>
      <c r="B17" s="4">
        <v>3.36</v>
      </c>
      <c r="C17" s="4">
        <v>3.49</v>
      </c>
      <c r="D17" s="4">
        <v>7.6999999999999999E-2</v>
      </c>
      <c r="E17" s="4">
        <v>1.72</v>
      </c>
      <c r="F17" s="4">
        <v>6.0000000000000001E-3</v>
      </c>
      <c r="G17" s="4">
        <f t="shared" si="0"/>
        <v>3.8690476190476288</v>
      </c>
      <c r="H17" s="5"/>
    </row>
  </sheetData>
  <mergeCells count="1">
    <mergeCell ref="F1:H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7"/>
  <sheetViews>
    <sheetView workbookViewId="0">
      <selection activeCell="F6" sqref="F6:F17"/>
    </sheetView>
  </sheetViews>
  <sheetFormatPr baseColWidth="10" defaultColWidth="11" defaultRowHeight="16" x14ac:dyDescent="0.2"/>
  <sheetData>
    <row r="1" spans="1:8" x14ac:dyDescent="0.2">
      <c r="A1" s="5"/>
      <c r="B1" s="5"/>
      <c r="C1" s="5"/>
      <c r="D1" s="5"/>
      <c r="E1" s="5"/>
      <c r="F1" s="7" t="s">
        <v>0</v>
      </c>
      <c r="G1" s="7"/>
      <c r="H1" s="7"/>
    </row>
    <row r="2" spans="1:8" x14ac:dyDescent="0.2">
      <c r="A2" s="5"/>
      <c r="B2" s="5"/>
      <c r="C2" s="5"/>
      <c r="D2" s="5"/>
      <c r="E2" s="5"/>
      <c r="F2" s="7"/>
      <c r="G2" s="7"/>
      <c r="H2" s="7"/>
    </row>
    <row r="3" spans="1:8" x14ac:dyDescent="0.2">
      <c r="A3" s="5"/>
      <c r="B3" s="5"/>
      <c r="C3" s="5"/>
      <c r="D3" s="5"/>
      <c r="E3" s="5"/>
      <c r="F3" s="7"/>
      <c r="G3" s="7"/>
      <c r="H3" s="7"/>
    </row>
    <row r="4" spans="1:8" x14ac:dyDescent="0.2">
      <c r="A4" s="5"/>
      <c r="B4" s="5"/>
      <c r="C4" s="5"/>
      <c r="D4" s="5"/>
      <c r="E4" s="5"/>
      <c r="F4" s="5"/>
      <c r="G4" s="5"/>
      <c r="H4" s="5"/>
    </row>
    <row r="5" spans="1:8" x14ac:dyDescent="0.2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5"/>
    </row>
    <row r="6" spans="1:8" x14ac:dyDescent="0.2">
      <c r="A6" s="3">
        <v>45658</v>
      </c>
      <c r="B6" s="4">
        <v>902</v>
      </c>
      <c r="C6" s="4">
        <v>923</v>
      </c>
      <c r="D6" s="4">
        <v>34.200000000000003</v>
      </c>
      <c r="E6" s="4">
        <v>0.62</v>
      </c>
      <c r="F6" s="4">
        <v>5.0199999999999996</v>
      </c>
      <c r="G6" s="4">
        <f>((C6-B6)/B6)*100</f>
        <v>2.3281596452328159</v>
      </c>
      <c r="H6" s="5"/>
    </row>
    <row r="7" spans="1:8" x14ac:dyDescent="0.2">
      <c r="A7" s="3">
        <v>45689</v>
      </c>
      <c r="B7" s="4">
        <v>623</v>
      </c>
      <c r="C7" s="4">
        <v>626</v>
      </c>
      <c r="D7" s="4">
        <v>24.2</v>
      </c>
      <c r="E7" s="4">
        <v>0.13</v>
      </c>
      <c r="F7" s="4">
        <v>3.5</v>
      </c>
      <c r="G7" s="4">
        <f t="shared" ref="G7:G17" si="0">((C7-B7)/B7)*100</f>
        <v>0.4815409309791332</v>
      </c>
      <c r="H7" s="5"/>
    </row>
    <row r="8" spans="1:8" x14ac:dyDescent="0.2">
      <c r="A8" s="3">
        <v>45717</v>
      </c>
      <c r="B8" s="4">
        <v>303</v>
      </c>
      <c r="C8" s="4">
        <v>305</v>
      </c>
      <c r="D8" s="4">
        <v>10.4</v>
      </c>
      <c r="E8" s="4">
        <v>0.16</v>
      </c>
      <c r="F8" s="4">
        <v>1.54</v>
      </c>
      <c r="G8" s="4">
        <f t="shared" si="0"/>
        <v>0.66006600660066006</v>
      </c>
      <c r="H8" s="5"/>
    </row>
    <row r="9" spans="1:8" x14ac:dyDescent="0.2">
      <c r="A9" s="3">
        <v>45748</v>
      </c>
      <c r="B9" s="4">
        <v>901</v>
      </c>
      <c r="C9" s="4">
        <v>934</v>
      </c>
      <c r="D9" s="4">
        <v>30.1</v>
      </c>
      <c r="E9" s="4">
        <v>1.08</v>
      </c>
      <c r="F9" s="4">
        <v>4.4400000000000004</v>
      </c>
      <c r="G9" s="4">
        <f t="shared" si="0"/>
        <v>3.6625971143174252</v>
      </c>
      <c r="H9" s="5"/>
    </row>
    <row r="10" spans="1:8" x14ac:dyDescent="0.2">
      <c r="A10" s="3">
        <v>45778</v>
      </c>
      <c r="B10" s="4">
        <v>624</v>
      </c>
      <c r="C10" s="4">
        <v>620</v>
      </c>
      <c r="D10" s="4">
        <v>23</v>
      </c>
      <c r="E10" s="4">
        <v>-0.16</v>
      </c>
      <c r="F10" s="4">
        <v>3.14</v>
      </c>
      <c r="G10" s="4">
        <f t="shared" si="0"/>
        <v>-0.64102564102564097</v>
      </c>
      <c r="H10" s="5"/>
    </row>
    <row r="11" spans="1:8" x14ac:dyDescent="0.2">
      <c r="A11" s="3">
        <v>45809</v>
      </c>
      <c r="B11" s="4">
        <v>82</v>
      </c>
      <c r="C11" s="4">
        <v>82</v>
      </c>
      <c r="D11" s="4">
        <v>2.54</v>
      </c>
      <c r="E11" s="4">
        <v>0</v>
      </c>
      <c r="F11" s="4">
        <v>0.36399999999999999</v>
      </c>
      <c r="G11" s="4">
        <f t="shared" si="0"/>
        <v>0</v>
      </c>
      <c r="H11" s="5"/>
    </row>
    <row r="12" spans="1:8" x14ac:dyDescent="0.2">
      <c r="A12" s="3">
        <v>45839</v>
      </c>
      <c r="B12" s="4">
        <v>869</v>
      </c>
      <c r="C12" s="4">
        <v>853</v>
      </c>
      <c r="D12" s="4">
        <v>31</v>
      </c>
      <c r="E12" s="4">
        <v>-0.52</v>
      </c>
      <c r="F12" s="4">
        <v>4.8899999999999997</v>
      </c>
      <c r="G12" s="4">
        <f t="shared" si="0"/>
        <v>-1.8411967779056386</v>
      </c>
      <c r="H12" s="5"/>
    </row>
    <row r="13" spans="1:8" x14ac:dyDescent="0.2">
      <c r="A13" s="3">
        <v>45870</v>
      </c>
      <c r="B13" s="4">
        <v>298</v>
      </c>
      <c r="C13" s="4">
        <v>296</v>
      </c>
      <c r="D13" s="4">
        <v>12.8</v>
      </c>
      <c r="E13" s="4">
        <v>-0.17</v>
      </c>
      <c r="F13" s="4">
        <v>1.97</v>
      </c>
      <c r="G13" s="4">
        <f t="shared" si="0"/>
        <v>-0.67114093959731547</v>
      </c>
      <c r="H13" s="5"/>
    </row>
    <row r="14" spans="1:8" x14ac:dyDescent="0.2">
      <c r="A14" s="3">
        <v>45901</v>
      </c>
      <c r="B14" s="4">
        <v>88.6</v>
      </c>
      <c r="C14" s="4">
        <v>86</v>
      </c>
      <c r="D14" s="4">
        <v>3.53</v>
      </c>
      <c r="E14" s="4">
        <v>-0.73</v>
      </c>
      <c r="F14" s="4">
        <v>0.51600000000000001</v>
      </c>
      <c r="G14" s="4">
        <f t="shared" si="0"/>
        <v>-2.934537246049655</v>
      </c>
      <c r="H14" s="5"/>
    </row>
    <row r="15" spans="1:8" x14ac:dyDescent="0.2">
      <c r="A15" s="3">
        <v>45931</v>
      </c>
      <c r="B15" s="4">
        <v>605</v>
      </c>
      <c r="C15" s="4">
        <v>596</v>
      </c>
      <c r="D15" s="4">
        <v>22.3</v>
      </c>
      <c r="E15" s="4">
        <v>-0.42</v>
      </c>
      <c r="F15" s="4">
        <v>3.19</v>
      </c>
      <c r="G15" s="4">
        <f t="shared" si="0"/>
        <v>-1.4876033057851239</v>
      </c>
      <c r="H15" s="5"/>
    </row>
    <row r="16" spans="1:8" x14ac:dyDescent="0.2">
      <c r="A16" s="3">
        <v>45962</v>
      </c>
      <c r="B16" s="4">
        <v>298</v>
      </c>
      <c r="C16" s="4">
        <v>312</v>
      </c>
      <c r="D16" s="4">
        <v>10.7</v>
      </c>
      <c r="E16" s="4">
        <v>1.28</v>
      </c>
      <c r="F16" s="4">
        <v>1.56</v>
      </c>
      <c r="G16" s="4">
        <f t="shared" si="0"/>
        <v>4.6979865771812079</v>
      </c>
      <c r="H16" s="5"/>
    </row>
    <row r="17" spans="1:8" x14ac:dyDescent="0.2">
      <c r="A17" s="3">
        <v>45992</v>
      </c>
      <c r="B17" s="4">
        <v>88.4</v>
      </c>
      <c r="C17" s="4">
        <v>89</v>
      </c>
      <c r="D17" s="4">
        <v>2.78</v>
      </c>
      <c r="E17" s="4">
        <v>0.21</v>
      </c>
      <c r="F17" s="4">
        <v>0.40200000000000002</v>
      </c>
      <c r="G17" s="4">
        <f t="shared" si="0"/>
        <v>0.67873303167420163</v>
      </c>
      <c r="H17" s="5"/>
    </row>
  </sheetData>
  <mergeCells count="1">
    <mergeCell ref="F1:H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17"/>
  <sheetViews>
    <sheetView tabSelected="1" workbookViewId="0">
      <selection activeCell="H22" sqref="H22"/>
    </sheetView>
  </sheetViews>
  <sheetFormatPr baseColWidth="10" defaultColWidth="11" defaultRowHeight="16" x14ac:dyDescent="0.2"/>
  <sheetData>
    <row r="1" spans="1:8" x14ac:dyDescent="0.2">
      <c r="A1" s="5"/>
      <c r="B1" s="5"/>
      <c r="C1" s="5"/>
      <c r="D1" s="5"/>
      <c r="E1" s="5"/>
      <c r="F1" s="7" t="s">
        <v>0</v>
      </c>
      <c r="G1" s="7"/>
      <c r="H1" s="7"/>
    </row>
    <row r="2" spans="1:8" x14ac:dyDescent="0.2">
      <c r="A2" s="5"/>
      <c r="B2" s="5"/>
      <c r="C2" s="5"/>
      <c r="D2" s="5"/>
      <c r="E2" s="5"/>
      <c r="F2" s="7"/>
      <c r="G2" s="7"/>
      <c r="H2" s="7"/>
    </row>
    <row r="3" spans="1:8" x14ac:dyDescent="0.2">
      <c r="A3" s="5"/>
      <c r="B3" s="5"/>
      <c r="C3" s="5"/>
      <c r="D3" s="5"/>
      <c r="E3" s="5"/>
      <c r="F3" s="7"/>
      <c r="G3" s="7"/>
      <c r="H3" s="7"/>
    </row>
    <row r="4" spans="1:8" x14ac:dyDescent="0.2">
      <c r="A4" s="5"/>
      <c r="B4" s="5"/>
      <c r="C4" s="5"/>
      <c r="D4" s="5"/>
      <c r="E4" s="5"/>
      <c r="F4" s="5"/>
      <c r="G4" s="5"/>
      <c r="H4" s="5"/>
    </row>
    <row r="5" spans="1:8" x14ac:dyDescent="0.2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5"/>
    </row>
    <row r="6" spans="1:8" x14ac:dyDescent="0.2">
      <c r="A6" s="3">
        <v>45658</v>
      </c>
      <c r="B6" s="4">
        <v>222</v>
      </c>
      <c r="C6" s="4">
        <v>230</v>
      </c>
      <c r="D6" s="4">
        <v>7.49</v>
      </c>
      <c r="E6" s="4">
        <v>1.1000000000000001</v>
      </c>
      <c r="F6" s="4">
        <v>0.92700000000000005</v>
      </c>
      <c r="G6" s="4">
        <f>((C6-B6)/B6)*100</f>
        <v>3.6036036036036037</v>
      </c>
      <c r="H6" s="5"/>
    </row>
    <row r="7" spans="1:8" x14ac:dyDescent="0.2">
      <c r="A7" s="3">
        <v>45689</v>
      </c>
      <c r="B7" s="4">
        <v>186</v>
      </c>
      <c r="C7" s="4">
        <v>182</v>
      </c>
      <c r="D7" s="4">
        <v>6.72</v>
      </c>
      <c r="E7" s="4">
        <v>-0.63</v>
      </c>
      <c r="F7" s="4">
        <v>0.83</v>
      </c>
      <c r="G7" s="4">
        <f t="shared" ref="G7:G17" si="0">((C7-B7)/B7)*100</f>
        <v>-2.1505376344086025</v>
      </c>
      <c r="H7" s="5"/>
    </row>
    <row r="8" spans="1:8" x14ac:dyDescent="0.2">
      <c r="A8" s="3">
        <v>45717</v>
      </c>
      <c r="B8" s="4">
        <v>159</v>
      </c>
      <c r="C8" s="4">
        <v>158</v>
      </c>
      <c r="D8" s="4">
        <v>5.85</v>
      </c>
      <c r="E8" s="4">
        <v>-0.25</v>
      </c>
      <c r="F8" s="4">
        <v>0.73499999999999999</v>
      </c>
      <c r="G8" s="4">
        <f t="shared" si="0"/>
        <v>-0.62893081761006298</v>
      </c>
      <c r="H8" s="5"/>
    </row>
    <row r="9" spans="1:8" x14ac:dyDescent="0.2">
      <c r="A9" s="3">
        <v>45748</v>
      </c>
      <c r="B9" s="4">
        <v>222</v>
      </c>
      <c r="C9" s="4">
        <v>222</v>
      </c>
      <c r="D9" s="4">
        <v>7.71</v>
      </c>
      <c r="E9" s="4">
        <v>0.05</v>
      </c>
      <c r="F9" s="4">
        <v>0.97</v>
      </c>
      <c r="G9" s="4">
        <f t="shared" si="0"/>
        <v>0</v>
      </c>
      <c r="H9" s="5"/>
    </row>
    <row r="10" spans="1:8" x14ac:dyDescent="0.2">
      <c r="A10" s="3">
        <v>45778</v>
      </c>
      <c r="B10" s="4">
        <v>186</v>
      </c>
      <c r="C10" s="4">
        <v>179</v>
      </c>
      <c r="D10" s="4">
        <v>7.08</v>
      </c>
      <c r="E10" s="4">
        <v>-0.95</v>
      </c>
      <c r="F10" s="4">
        <v>0.878</v>
      </c>
      <c r="G10" s="4">
        <f t="shared" si="0"/>
        <v>-3.763440860215054</v>
      </c>
      <c r="H10" s="5"/>
    </row>
    <row r="11" spans="1:8" x14ac:dyDescent="0.2">
      <c r="A11" s="3">
        <v>45809</v>
      </c>
      <c r="B11" s="4">
        <v>138</v>
      </c>
      <c r="C11" s="4">
        <v>138</v>
      </c>
      <c r="D11" s="4">
        <v>5.28</v>
      </c>
      <c r="E11" s="4">
        <v>0.02</v>
      </c>
      <c r="F11" s="4">
        <v>0.63600000000000001</v>
      </c>
      <c r="G11" s="4">
        <f t="shared" si="0"/>
        <v>0</v>
      </c>
      <c r="H11" s="5"/>
    </row>
    <row r="12" spans="1:8" x14ac:dyDescent="0.2">
      <c r="A12" s="3">
        <v>45839</v>
      </c>
      <c r="B12" s="4">
        <v>191</v>
      </c>
      <c r="C12" s="4">
        <v>194</v>
      </c>
      <c r="D12" s="4">
        <v>7.99</v>
      </c>
      <c r="E12" s="4">
        <v>0.39</v>
      </c>
      <c r="F12" s="4">
        <v>1.1100000000000001</v>
      </c>
      <c r="G12" s="4">
        <f t="shared" si="0"/>
        <v>1.5706806282722512</v>
      </c>
      <c r="H12" s="5"/>
    </row>
    <row r="13" spans="1:8" x14ac:dyDescent="0.2">
      <c r="A13" s="3">
        <v>45870</v>
      </c>
      <c r="B13" s="4">
        <v>146</v>
      </c>
      <c r="C13" s="4">
        <v>148</v>
      </c>
      <c r="D13" s="4">
        <v>6.15</v>
      </c>
      <c r="E13" s="4">
        <v>0.26</v>
      </c>
      <c r="F13" s="4">
        <v>0.80600000000000005</v>
      </c>
      <c r="G13" s="4">
        <f t="shared" si="0"/>
        <v>1.3698630136986301</v>
      </c>
      <c r="H13" s="5"/>
    </row>
    <row r="14" spans="1:8" x14ac:dyDescent="0.2">
      <c r="A14" s="3">
        <v>45901</v>
      </c>
      <c r="B14" s="4">
        <v>130</v>
      </c>
      <c r="C14" s="4">
        <v>129</v>
      </c>
      <c r="D14" s="4">
        <v>6.6</v>
      </c>
      <c r="E14" s="4">
        <v>-0.22</v>
      </c>
      <c r="F14" s="4">
        <v>0.83</v>
      </c>
      <c r="G14" s="4">
        <f t="shared" si="0"/>
        <v>-0.76923076923076927</v>
      </c>
      <c r="H14" s="5"/>
    </row>
    <row r="15" spans="1:8" x14ac:dyDescent="0.2">
      <c r="A15" s="3">
        <v>45931</v>
      </c>
      <c r="B15" s="4">
        <v>165</v>
      </c>
      <c r="C15" s="4">
        <v>162</v>
      </c>
      <c r="D15" s="4">
        <v>7.13</v>
      </c>
      <c r="E15" s="4">
        <v>-0.48</v>
      </c>
      <c r="F15" s="4">
        <v>0.91300000000000003</v>
      </c>
      <c r="G15" s="4">
        <f t="shared" si="0"/>
        <v>-1.8181818181818181</v>
      </c>
      <c r="H15" s="5"/>
    </row>
    <row r="16" spans="1:8" x14ac:dyDescent="0.2">
      <c r="A16" s="3">
        <v>45962</v>
      </c>
      <c r="B16" s="4">
        <v>146</v>
      </c>
      <c r="C16" s="4">
        <v>148</v>
      </c>
      <c r="D16" s="4">
        <v>6.16</v>
      </c>
      <c r="E16" s="4">
        <v>0.36</v>
      </c>
      <c r="F16" s="4">
        <v>0.78</v>
      </c>
      <c r="G16" s="4">
        <f t="shared" si="0"/>
        <v>1.3698630136986301</v>
      </c>
      <c r="H16" s="5"/>
    </row>
    <row r="17" spans="1:8" x14ac:dyDescent="0.2">
      <c r="A17" s="3">
        <v>45992</v>
      </c>
      <c r="B17" s="4">
        <v>131</v>
      </c>
      <c r="C17" s="4">
        <v>133</v>
      </c>
      <c r="D17" s="4">
        <v>5.0599999999999996</v>
      </c>
      <c r="E17" s="4">
        <v>0.41</v>
      </c>
      <c r="F17" s="4">
        <v>0.63500000000000001</v>
      </c>
      <c r="G17" s="4">
        <f t="shared" si="0"/>
        <v>1.5267175572519083</v>
      </c>
      <c r="H17" s="5"/>
    </row>
  </sheetData>
  <mergeCells count="1">
    <mergeCell ref="F1:H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17"/>
  <sheetViews>
    <sheetView workbookViewId="0">
      <selection activeCell="F6" sqref="F6:F17"/>
    </sheetView>
  </sheetViews>
  <sheetFormatPr baseColWidth="10" defaultColWidth="11" defaultRowHeight="16" x14ac:dyDescent="0.2"/>
  <sheetData>
    <row r="1" spans="1:8" x14ac:dyDescent="0.2">
      <c r="A1" s="5"/>
      <c r="B1" s="5"/>
      <c r="C1" s="5"/>
      <c r="D1" s="5"/>
      <c r="E1" s="5"/>
      <c r="F1" s="7" t="s">
        <v>0</v>
      </c>
      <c r="G1" s="7"/>
      <c r="H1" s="7"/>
    </row>
    <row r="2" spans="1:8" x14ac:dyDescent="0.2">
      <c r="A2" s="5"/>
      <c r="B2" s="5"/>
      <c r="C2" s="5"/>
      <c r="D2" s="5"/>
      <c r="E2" s="5"/>
      <c r="F2" s="7"/>
      <c r="G2" s="7"/>
      <c r="H2" s="7"/>
    </row>
    <row r="3" spans="1:8" x14ac:dyDescent="0.2">
      <c r="A3" s="5"/>
      <c r="B3" s="5"/>
      <c r="C3" s="5"/>
      <c r="D3" s="5"/>
      <c r="E3" s="5"/>
      <c r="F3" s="7"/>
      <c r="G3" s="7"/>
      <c r="H3" s="7"/>
    </row>
    <row r="4" spans="1:8" x14ac:dyDescent="0.2">
      <c r="A4" s="5"/>
      <c r="B4" s="5"/>
      <c r="C4" s="5"/>
      <c r="D4" s="5"/>
      <c r="E4" s="5"/>
      <c r="F4" s="5"/>
      <c r="G4" s="5"/>
      <c r="H4" s="5"/>
    </row>
    <row r="5" spans="1:8" x14ac:dyDescent="0.2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5"/>
    </row>
    <row r="6" spans="1:8" x14ac:dyDescent="0.2">
      <c r="A6" s="3">
        <v>45658</v>
      </c>
      <c r="B6" s="4">
        <v>5.95</v>
      </c>
      <c r="C6" s="4">
        <v>5.94</v>
      </c>
      <c r="D6" s="4">
        <v>8.1000000000000003E-2</v>
      </c>
      <c r="E6" s="4">
        <v>-0.11</v>
      </c>
      <c r="F6" s="4">
        <v>7.0000000000000001E-3</v>
      </c>
      <c r="G6" s="4">
        <f>((C6-B6)/B6)*100</f>
        <v>-0.16806722689075271</v>
      </c>
      <c r="H6" s="5"/>
    </row>
    <row r="7" spans="1:8" x14ac:dyDescent="0.2">
      <c r="A7" s="3">
        <v>45689</v>
      </c>
      <c r="B7" s="4">
        <v>4.49</v>
      </c>
      <c r="C7" s="4">
        <v>4.4000000000000004</v>
      </c>
      <c r="D7" s="4">
        <v>0.05</v>
      </c>
      <c r="E7" s="4">
        <v>-1.87</v>
      </c>
      <c r="F7" s="4">
        <v>4.0000000000000001E-3</v>
      </c>
      <c r="G7" s="4">
        <f t="shared" ref="G7:G17" si="0">((C7-B7)/B7)*100</f>
        <v>-2.0044543429844066</v>
      </c>
      <c r="H7" s="5"/>
    </row>
    <row r="8" spans="1:8" x14ac:dyDescent="0.2">
      <c r="A8" s="3">
        <v>45717</v>
      </c>
      <c r="B8" s="4">
        <v>2.89</v>
      </c>
      <c r="C8" s="4">
        <v>2.9</v>
      </c>
      <c r="D8" s="4">
        <v>3.3000000000000002E-2</v>
      </c>
      <c r="E8" s="4">
        <v>0.44</v>
      </c>
      <c r="F8" s="4">
        <v>3.3000000000000002E-2</v>
      </c>
      <c r="G8" s="4">
        <f t="shared" si="0"/>
        <v>0.34602076124566733</v>
      </c>
      <c r="H8" s="5"/>
    </row>
    <row r="9" spans="1:8" x14ac:dyDescent="0.2">
      <c r="A9" s="3">
        <v>45748</v>
      </c>
      <c r="B9" s="4">
        <v>5.95</v>
      </c>
      <c r="C9" s="4">
        <v>5.98</v>
      </c>
      <c r="D9" s="4">
        <v>0.08</v>
      </c>
      <c r="E9" s="4">
        <v>0.37</v>
      </c>
      <c r="F9" s="4">
        <v>7.0000000000000001E-3</v>
      </c>
      <c r="G9" s="4">
        <f t="shared" si="0"/>
        <v>0.50420168067227311</v>
      </c>
      <c r="H9" s="5"/>
    </row>
    <row r="10" spans="1:8" x14ac:dyDescent="0.2">
      <c r="A10" s="3">
        <v>45778</v>
      </c>
      <c r="B10" s="4">
        <v>4.49</v>
      </c>
      <c r="C10" s="4">
        <v>4.49</v>
      </c>
      <c r="D10" s="4">
        <v>4.9000000000000002E-2</v>
      </c>
      <c r="E10" s="4">
        <v>-0.08</v>
      </c>
      <c r="F10" s="4">
        <v>4.0000000000000001E-3</v>
      </c>
      <c r="G10" s="4">
        <f t="shared" si="0"/>
        <v>0</v>
      </c>
      <c r="H10" s="5"/>
    </row>
    <row r="11" spans="1:8" x14ac:dyDescent="0.2">
      <c r="A11" s="3">
        <v>45809</v>
      </c>
      <c r="B11" s="4">
        <v>1.86</v>
      </c>
      <c r="C11" s="4">
        <v>1.88</v>
      </c>
      <c r="D11" s="4">
        <v>0.05</v>
      </c>
      <c r="E11" s="4">
        <v>0.4</v>
      </c>
      <c r="F11" s="4">
        <v>4.0000000000000001E-3</v>
      </c>
      <c r="G11" s="4">
        <f t="shared" si="0"/>
        <v>1.0752688172042901</v>
      </c>
      <c r="H11" s="5"/>
    </row>
    <row r="12" spans="1:8" x14ac:dyDescent="0.2">
      <c r="A12" s="3">
        <v>45839</v>
      </c>
      <c r="B12" s="4">
        <v>5.89</v>
      </c>
      <c r="C12" s="4">
        <v>5.76</v>
      </c>
      <c r="D12" s="4">
        <v>8.8999999999999996E-2</v>
      </c>
      <c r="E12" s="4">
        <v>-1.48</v>
      </c>
      <c r="F12" s="4">
        <v>8.0000000000000002E-3</v>
      </c>
      <c r="G12" s="4">
        <f t="shared" si="0"/>
        <v>-2.207130730050932</v>
      </c>
      <c r="H12" s="5"/>
    </row>
    <row r="13" spans="1:8" x14ac:dyDescent="0.2">
      <c r="A13" s="3">
        <v>45870</v>
      </c>
      <c r="B13" s="4">
        <v>2.81</v>
      </c>
      <c r="C13" s="4">
        <v>2.78</v>
      </c>
      <c r="D13" s="4">
        <v>3.3000000000000002E-2</v>
      </c>
      <c r="E13" s="4">
        <v>-0.79</v>
      </c>
      <c r="F13" s="4">
        <v>3.0000000000000001E-3</v>
      </c>
      <c r="G13" s="4">
        <f t="shared" si="0"/>
        <v>-1.0676156583629981</v>
      </c>
      <c r="H13" s="5"/>
    </row>
    <row r="14" spans="1:8" x14ac:dyDescent="0.2">
      <c r="A14" s="3">
        <v>45901</v>
      </c>
      <c r="B14" s="4">
        <v>1.78</v>
      </c>
      <c r="C14" s="4">
        <v>1.74</v>
      </c>
      <c r="D14" s="4">
        <v>4.2000000000000003E-2</v>
      </c>
      <c r="E14" s="4">
        <v>-0.92</v>
      </c>
      <c r="F14" s="4">
        <v>4.0000000000000001E-3</v>
      </c>
      <c r="G14" s="4">
        <f t="shared" si="0"/>
        <v>-2.247191011235957</v>
      </c>
      <c r="H14" s="5"/>
    </row>
    <row r="15" spans="1:8" x14ac:dyDescent="0.2">
      <c r="A15" s="3">
        <v>45931</v>
      </c>
      <c r="B15" s="4">
        <v>4.45</v>
      </c>
      <c r="C15" s="4">
        <v>4.41</v>
      </c>
      <c r="D15" s="4">
        <v>6.7000000000000004E-2</v>
      </c>
      <c r="E15" s="4">
        <v>-0.56999999999999995</v>
      </c>
      <c r="F15" s="4">
        <v>6.0000000000000001E-3</v>
      </c>
      <c r="G15" s="4">
        <f t="shared" si="0"/>
        <v>-0.89887640449438277</v>
      </c>
      <c r="H15" s="5"/>
    </row>
    <row r="16" spans="1:8" x14ac:dyDescent="0.2">
      <c r="A16" s="3">
        <v>45962</v>
      </c>
      <c r="B16" s="4">
        <v>2.81</v>
      </c>
      <c r="C16" s="4">
        <v>2.81</v>
      </c>
      <c r="D16" s="4">
        <v>0.03</v>
      </c>
      <c r="E16" s="4">
        <v>0.08</v>
      </c>
      <c r="F16" s="4">
        <v>3.0000000000000001E-3</v>
      </c>
      <c r="G16" s="4">
        <f t="shared" si="0"/>
        <v>0</v>
      </c>
      <c r="H16" s="5"/>
    </row>
    <row r="17" spans="1:8" x14ac:dyDescent="0.2">
      <c r="A17" s="3">
        <v>45992</v>
      </c>
      <c r="B17" s="4">
        <v>1.78</v>
      </c>
      <c r="C17" s="4">
        <v>1.76</v>
      </c>
      <c r="D17" s="4">
        <v>3.3000000000000002E-2</v>
      </c>
      <c r="E17" s="4">
        <v>-0.69</v>
      </c>
      <c r="F17" s="4">
        <v>3.0000000000000001E-3</v>
      </c>
      <c r="G17" s="4">
        <f t="shared" si="0"/>
        <v>-1.1235955056179785</v>
      </c>
      <c r="H17" s="5"/>
    </row>
  </sheetData>
  <mergeCells count="1">
    <mergeCell ref="F1:H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17"/>
  <sheetViews>
    <sheetView workbookViewId="0">
      <selection activeCell="F6" sqref="F6:F17"/>
    </sheetView>
  </sheetViews>
  <sheetFormatPr baseColWidth="10" defaultColWidth="11" defaultRowHeight="16" x14ac:dyDescent="0.2"/>
  <sheetData>
    <row r="1" spans="1:8" x14ac:dyDescent="0.2">
      <c r="A1" s="5"/>
      <c r="B1" s="5"/>
      <c r="C1" s="5"/>
      <c r="D1" s="5"/>
      <c r="E1" s="5"/>
      <c r="F1" s="7" t="s">
        <v>0</v>
      </c>
      <c r="G1" s="7"/>
      <c r="H1" s="7"/>
    </row>
    <row r="2" spans="1:8" x14ac:dyDescent="0.2">
      <c r="A2" s="5"/>
      <c r="B2" s="5"/>
      <c r="C2" s="5"/>
      <c r="D2" s="5"/>
      <c r="E2" s="5"/>
      <c r="F2" s="7"/>
      <c r="G2" s="7"/>
      <c r="H2" s="7"/>
    </row>
    <row r="3" spans="1:8" x14ac:dyDescent="0.2">
      <c r="A3" s="5"/>
      <c r="B3" s="5"/>
      <c r="C3" s="5"/>
      <c r="D3" s="5"/>
      <c r="E3" s="5"/>
      <c r="F3" s="7"/>
      <c r="G3" s="7"/>
      <c r="H3" s="7"/>
    </row>
    <row r="4" spans="1:8" x14ac:dyDescent="0.2">
      <c r="A4" s="5"/>
      <c r="B4" s="5"/>
      <c r="C4" s="5"/>
      <c r="D4" s="5"/>
      <c r="E4" s="5"/>
      <c r="F4" s="5"/>
      <c r="G4" s="5"/>
      <c r="H4" s="5"/>
    </row>
    <row r="5" spans="1:8" x14ac:dyDescent="0.2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5"/>
    </row>
    <row r="6" spans="1:8" x14ac:dyDescent="0.2">
      <c r="A6" s="3">
        <v>45658</v>
      </c>
      <c r="B6" s="4">
        <v>104</v>
      </c>
      <c r="C6" s="4">
        <v>103</v>
      </c>
      <c r="D6" s="4">
        <v>4.5199999999999996</v>
      </c>
      <c r="E6" s="4">
        <v>-0.2</v>
      </c>
      <c r="F6" s="4">
        <v>0.55200000000000005</v>
      </c>
      <c r="G6" s="4">
        <f>((C6-B6)/B6)*100</f>
        <v>-0.96153846153846156</v>
      </c>
      <c r="H6" s="5"/>
    </row>
    <row r="7" spans="1:8" x14ac:dyDescent="0.2">
      <c r="A7" s="3">
        <v>45689</v>
      </c>
      <c r="B7" s="4">
        <v>83.1</v>
      </c>
      <c r="C7" s="4">
        <v>87</v>
      </c>
      <c r="D7" s="4">
        <v>3.21</v>
      </c>
      <c r="E7" s="4">
        <v>1.22</v>
      </c>
      <c r="F7" s="4">
        <v>0.39</v>
      </c>
      <c r="G7" s="4">
        <f t="shared" ref="G7:G17" si="0">((C7-B7)/B7)*100</f>
        <v>4.6931407942238339</v>
      </c>
      <c r="H7" s="5"/>
    </row>
    <row r="8" spans="1:8" x14ac:dyDescent="0.2">
      <c r="A8" s="3">
        <v>45717</v>
      </c>
      <c r="B8" s="4">
        <v>59</v>
      </c>
      <c r="C8" s="4">
        <v>62</v>
      </c>
      <c r="D8" s="4">
        <v>3.04</v>
      </c>
      <c r="E8" s="4">
        <v>0.7</v>
      </c>
      <c r="F8" s="4">
        <v>0.378</v>
      </c>
      <c r="G8" s="4">
        <f t="shared" si="0"/>
        <v>5.0847457627118651</v>
      </c>
      <c r="H8" s="5"/>
    </row>
    <row r="9" spans="1:8" x14ac:dyDescent="0.2">
      <c r="A9" s="3">
        <v>45748</v>
      </c>
      <c r="B9" s="4">
        <v>103</v>
      </c>
      <c r="C9" s="4">
        <v>103</v>
      </c>
      <c r="D9" s="4">
        <v>4.28</v>
      </c>
      <c r="E9" s="4">
        <v>-0.09</v>
      </c>
      <c r="F9" s="4">
        <v>0.53300000000000003</v>
      </c>
      <c r="G9" s="4">
        <f t="shared" si="0"/>
        <v>0</v>
      </c>
      <c r="H9" s="5"/>
    </row>
    <row r="10" spans="1:8" x14ac:dyDescent="0.2">
      <c r="A10" s="3">
        <v>45778</v>
      </c>
      <c r="B10" s="4">
        <v>82.9</v>
      </c>
      <c r="C10" s="4">
        <v>86</v>
      </c>
      <c r="D10" s="4">
        <v>3.72</v>
      </c>
      <c r="E10" s="4">
        <v>0.82</v>
      </c>
      <c r="F10" s="4">
        <v>0.46200000000000002</v>
      </c>
      <c r="G10" s="4">
        <f t="shared" si="0"/>
        <v>3.7394451145958914</v>
      </c>
      <c r="H10" s="5"/>
    </row>
    <row r="11" spans="1:8" x14ac:dyDescent="0.2">
      <c r="A11" s="3">
        <v>45809</v>
      </c>
      <c r="B11" s="4">
        <v>41.1</v>
      </c>
      <c r="C11" s="4">
        <v>43</v>
      </c>
      <c r="D11" s="4">
        <v>2.71</v>
      </c>
      <c r="E11" s="4">
        <v>0.7</v>
      </c>
      <c r="F11" s="4">
        <v>0.32600000000000001</v>
      </c>
      <c r="G11" s="4">
        <f t="shared" si="0"/>
        <v>4.622871046228707</v>
      </c>
      <c r="H11" s="5"/>
    </row>
    <row r="12" spans="1:8" x14ac:dyDescent="0.2">
      <c r="A12" s="3">
        <v>45839</v>
      </c>
      <c r="B12" s="4">
        <v>110</v>
      </c>
      <c r="C12" s="4">
        <v>109</v>
      </c>
      <c r="D12" s="4">
        <v>4.97</v>
      </c>
      <c r="E12" s="4">
        <v>-0.18</v>
      </c>
      <c r="F12" s="4">
        <v>0.65300000000000002</v>
      </c>
      <c r="G12" s="4">
        <f t="shared" si="0"/>
        <v>-0.90909090909090906</v>
      </c>
      <c r="H12" s="5"/>
    </row>
    <row r="13" spans="1:8" x14ac:dyDescent="0.2">
      <c r="A13" s="3">
        <v>45870</v>
      </c>
      <c r="B13" s="4">
        <v>62.7</v>
      </c>
      <c r="C13" s="4">
        <v>69</v>
      </c>
      <c r="D13" s="4">
        <v>3.51</v>
      </c>
      <c r="E13" s="4">
        <v>1.81</v>
      </c>
      <c r="F13" s="4">
        <v>0.442</v>
      </c>
      <c r="G13" s="4">
        <f t="shared" si="0"/>
        <v>10.047846889952149</v>
      </c>
      <c r="H13" s="5"/>
    </row>
    <row r="14" spans="1:8" x14ac:dyDescent="0.2">
      <c r="A14" s="3">
        <v>45901</v>
      </c>
      <c r="B14" s="4">
        <v>42.2</v>
      </c>
      <c r="C14" s="4">
        <v>39</v>
      </c>
      <c r="D14" s="4">
        <v>2.7</v>
      </c>
      <c r="E14" s="4">
        <v>-1.17</v>
      </c>
      <c r="F14" s="4">
        <v>0.32600000000000001</v>
      </c>
      <c r="G14" s="4">
        <f t="shared" si="0"/>
        <v>-7.5829383886255988</v>
      </c>
      <c r="H14" s="5"/>
    </row>
    <row r="15" spans="1:8" x14ac:dyDescent="0.2">
      <c r="A15" s="3">
        <v>45931</v>
      </c>
      <c r="B15" s="4">
        <v>88.4</v>
      </c>
      <c r="C15" s="4">
        <v>95</v>
      </c>
      <c r="D15" s="4">
        <v>3.84</v>
      </c>
      <c r="E15" s="4">
        <v>1.71</v>
      </c>
      <c r="F15" s="4">
        <v>0.46400000000000002</v>
      </c>
      <c r="G15" s="4">
        <f t="shared" si="0"/>
        <v>7.4660633484162826</v>
      </c>
      <c r="H15" s="5"/>
    </row>
    <row r="16" spans="1:8" x14ac:dyDescent="0.2">
      <c r="A16" s="3">
        <v>45962</v>
      </c>
      <c r="B16" s="4">
        <v>62.2</v>
      </c>
      <c r="C16" s="4">
        <v>62</v>
      </c>
      <c r="D16" s="4">
        <v>2.88</v>
      </c>
      <c r="E16" s="4">
        <v>-7.0000000000000007E-2</v>
      </c>
      <c r="F16" s="4">
        <v>0.35</v>
      </c>
      <c r="G16" s="4">
        <f t="shared" si="0"/>
        <v>-0.32154340836013318</v>
      </c>
      <c r="H16" s="5"/>
    </row>
    <row r="17" spans="1:8" x14ac:dyDescent="0.2">
      <c r="A17" s="3">
        <v>45992</v>
      </c>
      <c r="B17" s="4">
        <v>42.2</v>
      </c>
      <c r="C17" s="4">
        <v>45</v>
      </c>
      <c r="D17" s="4">
        <v>2.34</v>
      </c>
      <c r="E17" s="4">
        <v>1.21</v>
      </c>
      <c r="F17" s="4">
        <v>0.28199999999999997</v>
      </c>
      <c r="G17" s="4">
        <f t="shared" si="0"/>
        <v>6.6350710900473855</v>
      </c>
      <c r="H17" s="5"/>
    </row>
  </sheetData>
  <mergeCells count="1">
    <mergeCell ref="F1:H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7"/>
  <sheetViews>
    <sheetView workbookViewId="0">
      <selection activeCell="F6" sqref="F6:F17"/>
    </sheetView>
  </sheetViews>
  <sheetFormatPr baseColWidth="10" defaultColWidth="11" defaultRowHeight="16" x14ac:dyDescent="0.2"/>
  <sheetData>
    <row r="1" spans="1:8" x14ac:dyDescent="0.2">
      <c r="A1" s="5"/>
      <c r="B1" s="5"/>
      <c r="C1" s="5"/>
      <c r="D1" s="5"/>
      <c r="E1" s="5"/>
      <c r="F1" s="7" t="s">
        <v>0</v>
      </c>
      <c r="G1" s="7"/>
      <c r="H1" s="7"/>
    </row>
    <row r="2" spans="1:8" x14ac:dyDescent="0.2">
      <c r="A2" s="5"/>
      <c r="B2" s="5"/>
      <c r="C2" s="5"/>
      <c r="D2" s="5"/>
      <c r="E2" s="5"/>
      <c r="F2" s="7"/>
      <c r="G2" s="7"/>
      <c r="H2" s="7"/>
    </row>
    <row r="3" spans="1:8" x14ac:dyDescent="0.2">
      <c r="A3" s="5"/>
      <c r="B3" s="5"/>
      <c r="C3" s="5"/>
      <c r="D3" s="5"/>
      <c r="E3" s="5"/>
      <c r="F3" s="7"/>
      <c r="G3" s="7"/>
      <c r="H3" s="7"/>
    </row>
    <row r="4" spans="1:8" x14ac:dyDescent="0.2">
      <c r="A4" s="5"/>
      <c r="B4" s="5"/>
      <c r="C4" s="5"/>
      <c r="D4" s="5"/>
      <c r="E4" s="5"/>
      <c r="F4" s="5"/>
      <c r="G4" s="5"/>
      <c r="H4" s="5"/>
    </row>
    <row r="5" spans="1:8" x14ac:dyDescent="0.2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5"/>
    </row>
    <row r="6" spans="1:8" x14ac:dyDescent="0.2">
      <c r="A6" s="3">
        <v>45658</v>
      </c>
      <c r="B6" s="4">
        <v>384</v>
      </c>
      <c r="C6" s="4">
        <v>404</v>
      </c>
      <c r="D6" s="4">
        <v>13.4</v>
      </c>
      <c r="E6" s="4">
        <v>1.47</v>
      </c>
      <c r="F6" s="4">
        <v>1.5</v>
      </c>
      <c r="G6" s="4">
        <f>((C6-B6)/B6)*100</f>
        <v>5.2083333333333339</v>
      </c>
      <c r="H6" s="5"/>
    </row>
    <row r="7" spans="1:8" x14ac:dyDescent="0.2">
      <c r="A7" s="3">
        <v>45689</v>
      </c>
      <c r="B7" s="4">
        <v>298</v>
      </c>
      <c r="C7" s="4">
        <v>298</v>
      </c>
      <c r="D7" s="4">
        <v>10.4</v>
      </c>
      <c r="E7" s="4">
        <v>0.01</v>
      </c>
      <c r="F7" s="4">
        <v>1.18</v>
      </c>
      <c r="G7" s="4">
        <f t="shared" ref="G7:G17" si="0">((C7-B7)/B7)*100</f>
        <v>0</v>
      </c>
      <c r="H7" s="5"/>
    </row>
    <row r="8" spans="1:8" x14ac:dyDescent="0.2">
      <c r="A8" s="3">
        <v>45717</v>
      </c>
      <c r="B8" s="4">
        <v>191</v>
      </c>
      <c r="C8" s="4">
        <v>192</v>
      </c>
      <c r="D8" s="4">
        <v>6.89</v>
      </c>
      <c r="E8" s="4">
        <v>0.08</v>
      </c>
      <c r="F8" s="4">
        <v>0.78300000000000003</v>
      </c>
      <c r="G8" s="4">
        <f t="shared" si="0"/>
        <v>0.52356020942408377</v>
      </c>
      <c r="H8" s="5"/>
    </row>
    <row r="9" spans="1:8" x14ac:dyDescent="0.2">
      <c r="A9" s="3">
        <v>45748</v>
      </c>
      <c r="B9" s="4">
        <v>378</v>
      </c>
      <c r="C9" s="4">
        <v>373</v>
      </c>
      <c r="D9" s="4">
        <v>13.2</v>
      </c>
      <c r="E9" s="4">
        <v>-0.39</v>
      </c>
      <c r="F9" s="4">
        <v>1.52</v>
      </c>
      <c r="G9" s="4">
        <f t="shared" si="0"/>
        <v>-1.3227513227513228</v>
      </c>
      <c r="H9" s="5"/>
    </row>
    <row r="10" spans="1:8" x14ac:dyDescent="0.2">
      <c r="A10" s="3">
        <v>45778</v>
      </c>
      <c r="B10" s="4">
        <v>298</v>
      </c>
      <c r="C10" s="4">
        <v>291</v>
      </c>
      <c r="D10" s="4">
        <v>9.39</v>
      </c>
      <c r="E10" s="4">
        <v>-0.7</v>
      </c>
      <c r="F10" s="4">
        <v>1.06</v>
      </c>
      <c r="G10" s="4">
        <f t="shared" si="0"/>
        <v>-2.348993288590604</v>
      </c>
      <c r="H10" s="5"/>
    </row>
    <row r="11" spans="1:8" x14ac:dyDescent="0.2">
      <c r="A11" s="3">
        <v>45809</v>
      </c>
      <c r="B11" s="4">
        <v>120</v>
      </c>
      <c r="C11" s="4">
        <v>120</v>
      </c>
      <c r="D11" s="4">
        <v>4.24</v>
      </c>
      <c r="E11" s="4">
        <v>0.01</v>
      </c>
      <c r="F11" s="4">
        <v>0.46400000000000002</v>
      </c>
      <c r="G11" s="4">
        <f t="shared" si="0"/>
        <v>0</v>
      </c>
      <c r="H11" s="5"/>
    </row>
    <row r="12" spans="1:8" x14ac:dyDescent="0.2">
      <c r="A12" s="3">
        <v>45839</v>
      </c>
      <c r="B12" s="4">
        <v>395</v>
      </c>
      <c r="C12" s="4">
        <v>386</v>
      </c>
      <c r="D12" s="4">
        <v>16.2</v>
      </c>
      <c r="E12" s="4">
        <v>-0.56999999999999995</v>
      </c>
      <c r="F12" s="4">
        <v>1.94</v>
      </c>
      <c r="G12" s="4">
        <f t="shared" si="0"/>
        <v>-2.278481012658228</v>
      </c>
      <c r="H12" s="5"/>
    </row>
    <row r="13" spans="1:8" x14ac:dyDescent="0.2">
      <c r="A13" s="3">
        <v>45870</v>
      </c>
      <c r="B13" s="4">
        <v>205</v>
      </c>
      <c r="C13" s="4">
        <v>202</v>
      </c>
      <c r="D13" s="4">
        <v>7.47</v>
      </c>
      <c r="E13" s="4">
        <v>-0.34</v>
      </c>
      <c r="F13" s="4">
        <v>0.83099999999999996</v>
      </c>
      <c r="G13" s="4">
        <f t="shared" si="0"/>
        <v>-1.4634146341463417</v>
      </c>
      <c r="H13" s="5"/>
    </row>
    <row r="14" spans="1:8" x14ac:dyDescent="0.2">
      <c r="A14" s="3">
        <v>45901</v>
      </c>
      <c r="B14" s="4">
        <v>130</v>
      </c>
      <c r="C14" s="4">
        <v>127</v>
      </c>
      <c r="D14" s="4">
        <v>5.13</v>
      </c>
      <c r="E14" s="4">
        <v>-0.66</v>
      </c>
      <c r="F14" s="4">
        <v>0.54300000000000004</v>
      </c>
      <c r="G14" s="4">
        <f t="shared" si="0"/>
        <v>-2.3076923076923079</v>
      </c>
      <c r="H14" s="5"/>
    </row>
    <row r="15" spans="1:8" x14ac:dyDescent="0.2">
      <c r="A15" s="3">
        <v>45931</v>
      </c>
      <c r="B15" s="4">
        <v>314</v>
      </c>
      <c r="C15" s="4">
        <v>307</v>
      </c>
      <c r="D15" s="4">
        <v>11.7</v>
      </c>
      <c r="E15" s="4">
        <v>-0.57999999999999996</v>
      </c>
      <c r="F15" s="4">
        <v>1.25</v>
      </c>
      <c r="G15" s="4">
        <f t="shared" si="0"/>
        <v>-2.2292993630573248</v>
      </c>
      <c r="H15" s="5"/>
    </row>
    <row r="16" spans="1:8" x14ac:dyDescent="0.2">
      <c r="A16" s="3">
        <v>45962</v>
      </c>
      <c r="B16" s="4">
        <v>205</v>
      </c>
      <c r="C16" s="4">
        <v>200</v>
      </c>
      <c r="D16" s="4">
        <v>6.85</v>
      </c>
      <c r="E16" s="4">
        <v>-0.71</v>
      </c>
      <c r="F16" s="4">
        <v>0.71899999999999997</v>
      </c>
      <c r="G16" s="4">
        <f t="shared" si="0"/>
        <v>-2.4390243902439024</v>
      </c>
      <c r="H16" s="5"/>
    </row>
    <row r="17" spans="1:8" x14ac:dyDescent="0.2">
      <c r="A17" s="3">
        <v>45992</v>
      </c>
      <c r="B17" s="4">
        <v>131</v>
      </c>
      <c r="C17" s="4">
        <v>132</v>
      </c>
      <c r="D17" s="4">
        <v>4.42</v>
      </c>
      <c r="E17" s="4">
        <v>0.17</v>
      </c>
      <c r="F17" s="4">
        <v>0.47199999999999998</v>
      </c>
      <c r="G17" s="4">
        <f t="shared" si="0"/>
        <v>0.76335877862595414</v>
      </c>
      <c r="H17" s="5"/>
    </row>
  </sheetData>
  <mergeCells count="1">
    <mergeCell ref="F1:H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7"/>
  <sheetViews>
    <sheetView workbookViewId="0">
      <selection activeCell="F6" sqref="F6:F17"/>
    </sheetView>
  </sheetViews>
  <sheetFormatPr baseColWidth="10" defaultColWidth="11" defaultRowHeight="16" x14ac:dyDescent="0.2"/>
  <sheetData>
    <row r="1" spans="1:8" x14ac:dyDescent="0.2">
      <c r="A1" s="5"/>
      <c r="B1" s="5"/>
      <c r="C1" s="5"/>
      <c r="D1" s="5"/>
      <c r="E1" s="5"/>
      <c r="F1" s="7" t="s">
        <v>0</v>
      </c>
      <c r="G1" s="7"/>
      <c r="H1" s="7"/>
    </row>
    <row r="2" spans="1:8" x14ac:dyDescent="0.2">
      <c r="A2" s="5"/>
      <c r="B2" s="5"/>
      <c r="C2" s="5"/>
      <c r="D2" s="5"/>
      <c r="E2" s="5"/>
      <c r="F2" s="7"/>
      <c r="G2" s="7"/>
      <c r="H2" s="7"/>
    </row>
    <row r="3" spans="1:8" x14ac:dyDescent="0.2">
      <c r="A3" s="5"/>
      <c r="B3" s="5"/>
      <c r="C3" s="5"/>
      <c r="D3" s="5"/>
      <c r="E3" s="5"/>
      <c r="F3" s="7"/>
      <c r="G3" s="7"/>
      <c r="H3" s="7"/>
    </row>
    <row r="4" spans="1:8" x14ac:dyDescent="0.2">
      <c r="A4" s="5"/>
      <c r="B4" s="5"/>
      <c r="C4" s="5"/>
      <c r="D4" s="5"/>
      <c r="E4" s="5"/>
      <c r="F4" s="5"/>
      <c r="G4" s="5"/>
      <c r="H4" s="5"/>
    </row>
    <row r="5" spans="1:8" x14ac:dyDescent="0.2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5"/>
    </row>
    <row r="6" spans="1:8" x14ac:dyDescent="0.2">
      <c r="A6" s="3">
        <v>45658</v>
      </c>
      <c r="B6" s="4">
        <v>898</v>
      </c>
      <c r="C6" s="4">
        <v>846</v>
      </c>
      <c r="D6" s="4">
        <v>37.200000000000003</v>
      </c>
      <c r="E6" s="4">
        <v>-1.39</v>
      </c>
      <c r="F6" s="4">
        <v>3.93</v>
      </c>
      <c r="G6" s="4">
        <f>((C6-B6)/B6)*100</f>
        <v>-5.7906458797327396</v>
      </c>
      <c r="H6" s="5"/>
    </row>
    <row r="7" spans="1:8" x14ac:dyDescent="0.2">
      <c r="A7" s="3">
        <v>45689</v>
      </c>
      <c r="B7" s="4">
        <v>650</v>
      </c>
      <c r="C7" s="4">
        <v>651</v>
      </c>
      <c r="D7" s="4">
        <v>25.1</v>
      </c>
      <c r="E7" s="4">
        <v>0.05</v>
      </c>
      <c r="F7" s="4">
        <v>2.66</v>
      </c>
      <c r="G7" s="4">
        <f t="shared" ref="G7:G17" si="0">((C7-B7)/B7)*100</f>
        <v>0.15384615384615385</v>
      </c>
      <c r="H7" s="5"/>
    </row>
    <row r="8" spans="1:8" x14ac:dyDescent="0.2">
      <c r="A8" s="3">
        <v>45717</v>
      </c>
      <c r="B8" s="4">
        <v>362</v>
      </c>
      <c r="C8" s="4">
        <v>361</v>
      </c>
      <c r="D8" s="4">
        <v>15.3</v>
      </c>
      <c r="E8" s="4">
        <v>-0.05</v>
      </c>
      <c r="F8" s="4">
        <v>1.63</v>
      </c>
      <c r="G8" s="4">
        <f t="shared" si="0"/>
        <v>-0.27624309392265189</v>
      </c>
      <c r="H8" s="5"/>
    </row>
    <row r="9" spans="1:8" x14ac:dyDescent="0.2">
      <c r="A9" s="3">
        <v>45748</v>
      </c>
      <c r="B9" s="4">
        <v>897</v>
      </c>
      <c r="C9" s="4">
        <v>918</v>
      </c>
      <c r="D9" s="4">
        <v>31.3</v>
      </c>
      <c r="E9" s="4">
        <v>0.67</v>
      </c>
      <c r="F9" s="4">
        <v>3.33</v>
      </c>
      <c r="G9" s="4">
        <f t="shared" si="0"/>
        <v>2.3411371237458192</v>
      </c>
      <c r="H9" s="5"/>
    </row>
    <row r="10" spans="1:8" x14ac:dyDescent="0.2">
      <c r="A10" s="3">
        <v>45778</v>
      </c>
      <c r="B10" s="4">
        <v>649</v>
      </c>
      <c r="C10" s="4">
        <v>650</v>
      </c>
      <c r="D10" s="4">
        <v>24.7</v>
      </c>
      <c r="E10" s="4">
        <v>0.06</v>
      </c>
      <c r="F10" s="4">
        <v>2.6</v>
      </c>
      <c r="G10" s="4">
        <f t="shared" si="0"/>
        <v>0.15408320493066258</v>
      </c>
      <c r="H10" s="5"/>
    </row>
    <row r="11" spans="1:8" x14ac:dyDescent="0.2">
      <c r="A11" s="3">
        <v>45809</v>
      </c>
      <c r="B11" s="4">
        <v>165</v>
      </c>
      <c r="C11" s="4">
        <v>172</v>
      </c>
      <c r="D11" s="4">
        <v>7.85</v>
      </c>
      <c r="E11" s="4">
        <v>0.86</v>
      </c>
      <c r="F11" s="4">
        <v>0.80100000000000005</v>
      </c>
      <c r="G11" s="4">
        <f t="shared" si="0"/>
        <v>4.2424242424242431</v>
      </c>
      <c r="H11" s="5"/>
    </row>
    <row r="12" spans="1:8" x14ac:dyDescent="0.2">
      <c r="A12" s="3">
        <v>45839</v>
      </c>
      <c r="B12" s="4">
        <v>190</v>
      </c>
      <c r="C12" s="4">
        <v>192</v>
      </c>
      <c r="D12" s="4">
        <v>10.3</v>
      </c>
      <c r="E12" s="4">
        <v>0.19</v>
      </c>
      <c r="F12" s="4">
        <v>1.1499999999999999</v>
      </c>
      <c r="G12" s="4">
        <f t="shared" si="0"/>
        <v>1.0526315789473684</v>
      </c>
      <c r="H12" s="5"/>
    </row>
    <row r="13" spans="1:8" x14ac:dyDescent="0.2">
      <c r="A13" s="3">
        <v>45870</v>
      </c>
      <c r="B13" s="4">
        <v>764</v>
      </c>
      <c r="C13" s="4">
        <v>754</v>
      </c>
      <c r="D13" s="4">
        <v>32</v>
      </c>
      <c r="E13" s="4">
        <v>-0.32</v>
      </c>
      <c r="F13" s="4">
        <v>3.34</v>
      </c>
      <c r="G13" s="4">
        <f t="shared" si="0"/>
        <v>-1.3089005235602094</v>
      </c>
      <c r="H13" s="5"/>
    </row>
    <row r="14" spans="1:8" x14ac:dyDescent="0.2">
      <c r="A14" s="3">
        <v>45901</v>
      </c>
      <c r="B14" s="4">
        <v>954</v>
      </c>
      <c r="C14" s="4">
        <v>916</v>
      </c>
      <c r="D14" s="4">
        <v>41.4</v>
      </c>
      <c r="E14" s="4">
        <v>-0.92</v>
      </c>
      <c r="F14" s="4">
        <v>4.13</v>
      </c>
      <c r="G14" s="4">
        <f t="shared" si="0"/>
        <v>-3.9832285115303985</v>
      </c>
      <c r="H14" s="5"/>
    </row>
    <row r="15" spans="1:8" x14ac:dyDescent="0.2">
      <c r="A15" s="3">
        <v>45931</v>
      </c>
      <c r="B15" s="4">
        <v>455</v>
      </c>
      <c r="C15" s="4">
        <v>469</v>
      </c>
      <c r="D15" s="4">
        <v>18.5</v>
      </c>
      <c r="E15" s="4">
        <v>0.77</v>
      </c>
      <c r="F15" s="4">
        <v>1.87</v>
      </c>
      <c r="G15" s="4">
        <f t="shared" si="0"/>
        <v>3.0769230769230771</v>
      </c>
      <c r="H15" s="5"/>
    </row>
    <row r="16" spans="1:8" x14ac:dyDescent="0.2">
      <c r="A16" s="3">
        <v>45962</v>
      </c>
      <c r="B16" s="4">
        <v>762</v>
      </c>
      <c r="C16" s="4">
        <v>770</v>
      </c>
      <c r="D16" s="4">
        <v>26.5</v>
      </c>
      <c r="E16" s="4">
        <v>0.3</v>
      </c>
      <c r="F16" s="4">
        <v>2.66</v>
      </c>
      <c r="G16" s="4">
        <f t="shared" si="0"/>
        <v>1.0498687664041995</v>
      </c>
      <c r="H16" s="5"/>
    </row>
    <row r="17" spans="1:8" x14ac:dyDescent="0.2">
      <c r="A17" s="3">
        <v>45992</v>
      </c>
      <c r="B17" s="4">
        <v>953</v>
      </c>
      <c r="C17" s="4">
        <v>997</v>
      </c>
      <c r="D17" s="4">
        <v>33.700000000000003</v>
      </c>
      <c r="E17" s="4">
        <v>1.31</v>
      </c>
      <c r="F17" s="4">
        <v>3.38</v>
      </c>
      <c r="G17" s="4">
        <f t="shared" si="0"/>
        <v>4.6169989506820563</v>
      </c>
      <c r="H17" s="5"/>
    </row>
  </sheetData>
  <mergeCells count="1">
    <mergeCell ref="F1:H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7"/>
  <sheetViews>
    <sheetView workbookViewId="0">
      <selection activeCell="F6" sqref="F6:F17"/>
    </sheetView>
  </sheetViews>
  <sheetFormatPr baseColWidth="10" defaultColWidth="11" defaultRowHeight="16" x14ac:dyDescent="0.2"/>
  <sheetData>
    <row r="1" spans="1:8" x14ac:dyDescent="0.2">
      <c r="A1" s="5"/>
      <c r="B1" s="5"/>
      <c r="C1" s="5"/>
      <c r="D1" s="5"/>
      <c r="E1" s="5"/>
      <c r="F1" s="7" t="s">
        <v>0</v>
      </c>
      <c r="G1" s="7"/>
      <c r="H1" s="7"/>
    </row>
    <row r="2" spans="1:8" x14ac:dyDescent="0.2">
      <c r="A2" s="5"/>
      <c r="B2" s="5"/>
      <c r="C2" s="5"/>
      <c r="D2" s="5"/>
      <c r="E2" s="5"/>
      <c r="F2" s="7"/>
      <c r="G2" s="7"/>
      <c r="H2" s="7"/>
    </row>
    <row r="3" spans="1:8" x14ac:dyDescent="0.2">
      <c r="A3" s="5"/>
      <c r="B3" s="5"/>
      <c r="C3" s="5"/>
      <c r="D3" s="5"/>
      <c r="E3" s="5"/>
      <c r="F3" s="7"/>
      <c r="G3" s="7"/>
      <c r="H3" s="7"/>
    </row>
    <row r="4" spans="1:8" x14ac:dyDescent="0.2">
      <c r="A4" s="5"/>
      <c r="B4" s="5"/>
      <c r="C4" s="5"/>
      <c r="D4" s="5"/>
      <c r="E4" s="5"/>
      <c r="F4" s="5"/>
      <c r="G4" s="5"/>
      <c r="H4" s="5"/>
    </row>
    <row r="5" spans="1:8" x14ac:dyDescent="0.2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5"/>
    </row>
    <row r="6" spans="1:8" x14ac:dyDescent="0.2">
      <c r="A6" s="3">
        <v>45658</v>
      </c>
      <c r="B6" s="4">
        <v>213</v>
      </c>
      <c r="C6" s="4">
        <v>212</v>
      </c>
      <c r="D6" s="4">
        <v>5.34</v>
      </c>
      <c r="E6" s="4">
        <v>-0.17</v>
      </c>
      <c r="F6" s="4">
        <v>0.54500000000000004</v>
      </c>
      <c r="G6" s="4">
        <f>((C6-B6)/B6)*100</f>
        <v>-0.46948356807511737</v>
      </c>
      <c r="H6" s="5"/>
    </row>
    <row r="7" spans="1:8" x14ac:dyDescent="0.2">
      <c r="A7" s="3">
        <v>45689</v>
      </c>
      <c r="B7" s="4">
        <v>162</v>
      </c>
      <c r="C7" s="4">
        <v>159</v>
      </c>
      <c r="D7" s="4">
        <v>4.4000000000000004</v>
      </c>
      <c r="E7" s="4">
        <f>0.75</f>
        <v>0.75</v>
      </c>
      <c r="F7" s="4">
        <v>0.45100000000000001</v>
      </c>
      <c r="G7" s="4">
        <f t="shared" ref="G7:G17" si="0">((C7-B7)/B7)*100</f>
        <v>-1.8518518518518516</v>
      </c>
      <c r="H7" s="5"/>
    </row>
    <row r="8" spans="1:8" x14ac:dyDescent="0.2">
      <c r="A8" s="3">
        <v>45717</v>
      </c>
      <c r="B8" s="4">
        <v>106</v>
      </c>
      <c r="C8" s="4">
        <v>105</v>
      </c>
      <c r="D8" s="4">
        <v>3.21</v>
      </c>
      <c r="E8" s="4">
        <v>-0.3</v>
      </c>
      <c r="F8" s="4">
        <v>0.33600000000000002</v>
      </c>
      <c r="G8" s="4">
        <f t="shared" si="0"/>
        <v>-0.94339622641509435</v>
      </c>
      <c r="H8" s="5"/>
    </row>
    <row r="9" spans="1:8" x14ac:dyDescent="0.2">
      <c r="A9" s="3">
        <v>45748</v>
      </c>
      <c r="B9" s="4">
        <v>213</v>
      </c>
      <c r="C9" s="4">
        <v>215</v>
      </c>
      <c r="D9" s="4">
        <v>5.5</v>
      </c>
      <c r="E9" s="4">
        <v>0.31</v>
      </c>
      <c r="F9" s="4">
        <v>0.57499999999999996</v>
      </c>
      <c r="G9" s="4">
        <f t="shared" si="0"/>
        <v>0.93896713615023475</v>
      </c>
      <c r="H9" s="5"/>
    </row>
    <row r="10" spans="1:8" x14ac:dyDescent="0.2">
      <c r="A10" s="3">
        <v>45778</v>
      </c>
      <c r="B10" s="4">
        <v>162</v>
      </c>
      <c r="C10" s="4">
        <v>162</v>
      </c>
      <c r="D10" s="4">
        <v>4.03</v>
      </c>
      <c r="E10" s="4">
        <v>-0.12</v>
      </c>
      <c r="F10" s="4">
        <v>0.41699999999999998</v>
      </c>
      <c r="G10" s="4">
        <f t="shared" si="0"/>
        <v>0</v>
      </c>
      <c r="H10" s="5"/>
    </row>
    <row r="11" spans="1:8" x14ac:dyDescent="0.2">
      <c r="A11" s="3">
        <v>45809</v>
      </c>
      <c r="B11" s="4">
        <v>69.3</v>
      </c>
      <c r="C11" s="4">
        <v>70</v>
      </c>
      <c r="D11" s="4">
        <v>2.77</v>
      </c>
      <c r="E11" s="4">
        <v>0.27</v>
      </c>
      <c r="F11" s="4">
        <v>0.27600000000000002</v>
      </c>
      <c r="G11" s="4">
        <f t="shared" si="0"/>
        <v>1.0101010101010142</v>
      </c>
      <c r="H11" s="5"/>
    </row>
    <row r="12" spans="1:8" x14ac:dyDescent="0.2">
      <c r="A12" s="3">
        <v>45839</v>
      </c>
      <c r="B12" s="4">
        <v>220</v>
      </c>
      <c r="C12" s="4">
        <v>221</v>
      </c>
      <c r="D12" s="4">
        <v>6.38</v>
      </c>
      <c r="E12" s="4">
        <v>0.18</v>
      </c>
      <c r="F12" s="4">
        <v>0.70599999999999996</v>
      </c>
      <c r="G12" s="4">
        <f t="shared" si="0"/>
        <v>0.45454545454545453</v>
      </c>
      <c r="H12" s="5"/>
    </row>
    <row r="13" spans="1:8" x14ac:dyDescent="0.2">
      <c r="A13" s="3">
        <v>45870</v>
      </c>
      <c r="B13" s="4">
        <v>97.8</v>
      </c>
      <c r="C13" s="4">
        <v>96</v>
      </c>
      <c r="D13" s="4">
        <v>3.29</v>
      </c>
      <c r="E13" s="4">
        <v>-0.55000000000000004</v>
      </c>
      <c r="F13" s="4">
        <v>0.33400000000000002</v>
      </c>
      <c r="G13" s="4">
        <f t="shared" si="0"/>
        <v>-1.8404907975460092</v>
      </c>
      <c r="H13" s="5"/>
    </row>
    <row r="14" spans="1:8" x14ac:dyDescent="0.2">
      <c r="A14" s="3">
        <v>45901</v>
      </c>
      <c r="B14" s="4">
        <v>55.8</v>
      </c>
      <c r="C14" s="4">
        <v>56</v>
      </c>
      <c r="D14" s="4">
        <v>2.61</v>
      </c>
      <c r="E14" s="4">
        <v>0.06</v>
      </c>
      <c r="F14" s="4">
        <v>0.252</v>
      </c>
      <c r="G14" s="4">
        <f t="shared" si="0"/>
        <v>0.35842293906810546</v>
      </c>
      <c r="H14" s="5"/>
    </row>
    <row r="15" spans="1:8" x14ac:dyDescent="0.2">
      <c r="A15" s="3">
        <v>45931</v>
      </c>
      <c r="B15" s="4">
        <v>162</v>
      </c>
      <c r="C15" s="4">
        <v>168</v>
      </c>
      <c r="D15" s="4">
        <v>4.87</v>
      </c>
      <c r="E15" s="4">
        <v>1.18</v>
      </c>
      <c r="F15" s="4">
        <v>0.48299999999999998</v>
      </c>
      <c r="G15" s="4">
        <f t="shared" si="0"/>
        <v>3.7037037037037033</v>
      </c>
      <c r="H15" s="5"/>
    </row>
    <row r="16" spans="1:8" x14ac:dyDescent="0.2">
      <c r="A16" s="3">
        <v>45962</v>
      </c>
      <c r="B16" s="4">
        <v>97.7</v>
      </c>
      <c r="C16" s="4">
        <v>97</v>
      </c>
      <c r="D16" s="4">
        <v>3.34</v>
      </c>
      <c r="E16" s="4">
        <v>-0.22</v>
      </c>
      <c r="F16" s="4">
        <v>0.32900000000000001</v>
      </c>
      <c r="G16" s="4">
        <f t="shared" si="0"/>
        <v>-0.71647901740020759</v>
      </c>
      <c r="H16" s="5"/>
    </row>
    <row r="17" spans="1:8" x14ac:dyDescent="0.2">
      <c r="A17" s="3">
        <v>45992</v>
      </c>
      <c r="B17" s="4">
        <v>56</v>
      </c>
      <c r="C17" s="4">
        <v>56</v>
      </c>
      <c r="D17" s="4">
        <v>2.48</v>
      </c>
      <c r="E17" s="4">
        <v>-0.01</v>
      </c>
      <c r="F17" s="4">
        <v>0.24299999999999999</v>
      </c>
      <c r="G17" s="4">
        <f t="shared" si="0"/>
        <v>0</v>
      </c>
      <c r="H17" s="5"/>
    </row>
  </sheetData>
  <mergeCells count="1">
    <mergeCell ref="F1:H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17"/>
  <sheetViews>
    <sheetView workbookViewId="0">
      <selection activeCell="F6" sqref="F6:F17"/>
    </sheetView>
  </sheetViews>
  <sheetFormatPr baseColWidth="10" defaultColWidth="11" defaultRowHeight="16" x14ac:dyDescent="0.2"/>
  <sheetData>
    <row r="1" spans="1:8" x14ac:dyDescent="0.2">
      <c r="A1" s="5"/>
      <c r="B1" s="5"/>
      <c r="C1" s="5"/>
      <c r="D1" s="5"/>
      <c r="E1" s="5"/>
      <c r="F1" s="7" t="s">
        <v>0</v>
      </c>
      <c r="G1" s="7"/>
      <c r="H1" s="7"/>
    </row>
    <row r="2" spans="1:8" x14ac:dyDescent="0.2">
      <c r="A2" s="5"/>
      <c r="B2" s="5"/>
      <c r="C2" s="5"/>
      <c r="D2" s="5"/>
      <c r="E2" s="5"/>
      <c r="F2" s="7"/>
      <c r="G2" s="7"/>
      <c r="H2" s="7"/>
    </row>
    <row r="3" spans="1:8" x14ac:dyDescent="0.2">
      <c r="A3" s="5"/>
      <c r="B3" s="5"/>
      <c r="C3" s="5"/>
      <c r="D3" s="5"/>
      <c r="E3" s="5"/>
      <c r="F3" s="7"/>
      <c r="G3" s="7"/>
      <c r="H3" s="7"/>
    </row>
    <row r="4" spans="1:8" x14ac:dyDescent="0.2">
      <c r="A4" s="5"/>
      <c r="B4" s="5"/>
      <c r="C4" s="5"/>
      <c r="D4" s="5"/>
      <c r="E4" s="5"/>
      <c r="F4" s="5"/>
      <c r="G4" s="5"/>
      <c r="H4" s="5"/>
    </row>
    <row r="5" spans="1:8" x14ac:dyDescent="0.2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5"/>
    </row>
    <row r="6" spans="1:8" x14ac:dyDescent="0.2">
      <c r="A6" s="3">
        <v>45658</v>
      </c>
      <c r="B6" s="4">
        <v>112</v>
      </c>
      <c r="C6" s="4">
        <v>114</v>
      </c>
      <c r="D6" s="4">
        <v>1.58</v>
      </c>
      <c r="E6" s="4">
        <v>1.24</v>
      </c>
      <c r="F6" s="4">
        <v>0.14099999999999999</v>
      </c>
      <c r="G6" s="4">
        <f>((C6-B6)/B6)*100</f>
        <v>1.7857142857142856</v>
      </c>
      <c r="H6" s="5"/>
    </row>
    <row r="7" spans="1:8" x14ac:dyDescent="0.2">
      <c r="A7" s="3">
        <v>45689</v>
      </c>
      <c r="B7" s="4">
        <v>101</v>
      </c>
      <c r="C7" s="4">
        <v>101</v>
      </c>
      <c r="D7" s="4">
        <v>1.26</v>
      </c>
      <c r="E7" s="4">
        <v>0.23</v>
      </c>
      <c r="F7" s="4">
        <v>0.114</v>
      </c>
      <c r="G7" s="4">
        <f t="shared" ref="G7:G16" si="0">((C7-B7)/B7)*100</f>
        <v>0</v>
      </c>
      <c r="H7" s="5"/>
    </row>
    <row r="8" spans="1:8" x14ac:dyDescent="0.2">
      <c r="A8" s="3">
        <v>45717</v>
      </c>
      <c r="B8" s="4">
        <v>89.3</v>
      </c>
      <c r="C8" s="4">
        <v>89</v>
      </c>
      <c r="D8" s="4">
        <v>1.1599999999999999</v>
      </c>
      <c r="E8" s="4">
        <v>-0.3</v>
      </c>
      <c r="F8" s="4">
        <v>0.105</v>
      </c>
      <c r="G8" s="4">
        <f t="shared" si="0"/>
        <v>-0.33594624860022076</v>
      </c>
      <c r="H8" s="5"/>
    </row>
    <row r="9" spans="1:8" x14ac:dyDescent="0.2">
      <c r="A9" s="3">
        <v>45748</v>
      </c>
      <c r="B9" s="4">
        <v>112</v>
      </c>
      <c r="C9" s="4">
        <v>112</v>
      </c>
      <c r="D9" s="4">
        <v>1.52</v>
      </c>
      <c r="E9" s="4">
        <v>0.03</v>
      </c>
      <c r="F9" s="4">
        <v>0.13800000000000001</v>
      </c>
      <c r="G9" s="4">
        <f t="shared" si="0"/>
        <v>0</v>
      </c>
      <c r="H9" s="5"/>
    </row>
    <row r="10" spans="1:8" x14ac:dyDescent="0.2">
      <c r="A10" s="3">
        <v>45778</v>
      </c>
      <c r="B10" s="4">
        <v>101</v>
      </c>
      <c r="C10" s="4">
        <v>101</v>
      </c>
      <c r="D10" s="4">
        <v>1.44</v>
      </c>
      <c r="E10" s="4">
        <v>0.15</v>
      </c>
      <c r="F10" s="4">
        <v>0.13</v>
      </c>
      <c r="G10" s="4">
        <f t="shared" si="0"/>
        <v>0</v>
      </c>
      <c r="H10" s="5"/>
    </row>
    <row r="11" spans="1:8" x14ac:dyDescent="0.2">
      <c r="A11" s="3">
        <v>45809</v>
      </c>
      <c r="B11" s="4">
        <v>81.400000000000006</v>
      </c>
      <c r="C11" s="4">
        <v>82</v>
      </c>
      <c r="D11" s="4">
        <v>1.1000000000000001</v>
      </c>
      <c r="E11" s="4">
        <v>0.59</v>
      </c>
      <c r="F11" s="4">
        <v>9.7000000000000003E-2</v>
      </c>
      <c r="G11" s="4">
        <f t="shared" si="0"/>
        <v>0.7371007371007301</v>
      </c>
      <c r="H11" s="5"/>
    </row>
    <row r="12" spans="1:8" x14ac:dyDescent="0.2">
      <c r="A12" s="3">
        <v>45839</v>
      </c>
      <c r="B12" s="4">
        <v>113</v>
      </c>
      <c r="C12" s="4">
        <v>111</v>
      </c>
      <c r="D12" s="4">
        <v>1.55</v>
      </c>
      <c r="E12" s="4">
        <v>-1.08</v>
      </c>
      <c r="F12" s="4">
        <v>0.14699999999999999</v>
      </c>
      <c r="G12" s="4">
        <f t="shared" si="0"/>
        <v>-1.7699115044247788</v>
      </c>
      <c r="H12" s="5"/>
    </row>
    <row r="13" spans="1:8" x14ac:dyDescent="0.2">
      <c r="A13" s="3">
        <v>45870</v>
      </c>
      <c r="B13" s="4">
        <v>88.6</v>
      </c>
      <c r="C13" s="4">
        <v>88</v>
      </c>
      <c r="D13" s="4">
        <v>1.27</v>
      </c>
      <c r="E13" s="4">
        <v>-0.49</v>
      </c>
      <c r="F13" s="4">
        <v>0.114</v>
      </c>
      <c r="G13" s="4">
        <f t="shared" si="0"/>
        <v>-0.67720090293453095</v>
      </c>
      <c r="H13" s="5"/>
    </row>
    <row r="14" spans="1:8" x14ac:dyDescent="0.2">
      <c r="A14" s="3">
        <v>45901</v>
      </c>
      <c r="B14" s="4">
        <v>79.599999999999994</v>
      </c>
      <c r="C14" s="4">
        <v>80</v>
      </c>
      <c r="D14" s="4">
        <v>1.1000000000000001</v>
      </c>
      <c r="E14" s="4">
        <v>0.38</v>
      </c>
      <c r="F14" s="4">
        <v>9.4E-2</v>
      </c>
      <c r="G14" s="4">
        <f t="shared" si="0"/>
        <v>0.50251256281407752</v>
      </c>
      <c r="H14" s="5"/>
    </row>
    <row r="15" spans="1:8" x14ac:dyDescent="0.2">
      <c r="A15" s="3">
        <v>45931</v>
      </c>
      <c r="B15" s="4">
        <v>101</v>
      </c>
      <c r="C15" s="4">
        <v>101</v>
      </c>
      <c r="D15" s="4">
        <v>1.47</v>
      </c>
      <c r="E15" s="4">
        <v>-0.03</v>
      </c>
      <c r="F15" s="4">
        <v>0.128</v>
      </c>
      <c r="G15" s="4">
        <f t="shared" si="0"/>
        <v>0</v>
      </c>
      <c r="H15" s="5"/>
    </row>
    <row r="16" spans="1:8" x14ac:dyDescent="0.2">
      <c r="A16" s="3">
        <v>45962</v>
      </c>
      <c r="B16" s="4">
        <v>88.7</v>
      </c>
      <c r="C16" s="4">
        <v>89</v>
      </c>
      <c r="D16" s="4">
        <v>1.1399999999999999</v>
      </c>
      <c r="E16" s="4">
        <v>0.3</v>
      </c>
      <c r="F16" s="4">
        <v>9.9000000000000005E-2</v>
      </c>
      <c r="G16" s="4">
        <f t="shared" si="0"/>
        <v>0.33821871476888066</v>
      </c>
      <c r="H16" s="5"/>
    </row>
    <row r="17" spans="1:8" x14ac:dyDescent="0.2">
      <c r="A17" s="3">
        <v>45992</v>
      </c>
      <c r="B17" s="4">
        <v>79.8</v>
      </c>
      <c r="C17" s="4">
        <v>79</v>
      </c>
      <c r="D17" s="4">
        <v>1.07</v>
      </c>
      <c r="E17" s="4">
        <v>-0.71</v>
      </c>
      <c r="F17" s="4">
        <v>9.2999999999999999E-2</v>
      </c>
      <c r="G17" s="4">
        <f>((C17-B17)/B17)*100</f>
        <v>-1.0025062656641568</v>
      </c>
      <c r="H17" s="5"/>
    </row>
  </sheetData>
  <mergeCells count="1">
    <mergeCell ref="F1:H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7"/>
  <sheetViews>
    <sheetView topLeftCell="A2" workbookViewId="0">
      <selection activeCell="F6" sqref="F6:F17"/>
    </sheetView>
  </sheetViews>
  <sheetFormatPr baseColWidth="10" defaultColWidth="11" defaultRowHeight="16" x14ac:dyDescent="0.2"/>
  <sheetData>
    <row r="1" spans="1:8" x14ac:dyDescent="0.2">
      <c r="A1" s="5"/>
      <c r="B1" s="5"/>
      <c r="C1" s="5"/>
      <c r="D1" s="5"/>
      <c r="E1" s="5"/>
      <c r="F1" s="7" t="s">
        <v>0</v>
      </c>
      <c r="G1" s="7"/>
      <c r="H1" s="7"/>
    </row>
    <row r="2" spans="1:8" x14ac:dyDescent="0.2">
      <c r="A2" s="5"/>
      <c r="B2" s="5"/>
      <c r="C2" s="5"/>
      <c r="D2" s="5"/>
      <c r="E2" s="5"/>
      <c r="F2" s="7"/>
      <c r="G2" s="7"/>
      <c r="H2" s="7"/>
    </row>
    <row r="3" spans="1:8" x14ac:dyDescent="0.2">
      <c r="A3" s="5"/>
      <c r="B3" s="5"/>
      <c r="C3" s="5"/>
      <c r="D3" s="5"/>
      <c r="E3" s="5"/>
      <c r="F3" s="7"/>
      <c r="G3" s="7"/>
      <c r="H3" s="7"/>
    </row>
    <row r="4" spans="1:8" x14ac:dyDescent="0.2">
      <c r="A4" s="5"/>
      <c r="B4" s="5"/>
      <c r="C4" s="5"/>
      <c r="D4" s="5"/>
      <c r="E4" s="5"/>
      <c r="F4" s="5"/>
      <c r="G4" s="5"/>
      <c r="H4" s="5"/>
    </row>
    <row r="5" spans="1:8" x14ac:dyDescent="0.2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5"/>
    </row>
    <row r="6" spans="1:8" x14ac:dyDescent="0.2">
      <c r="A6" s="3">
        <v>45658</v>
      </c>
      <c r="B6" s="4">
        <v>161</v>
      </c>
      <c r="C6" s="4">
        <v>160</v>
      </c>
      <c r="D6" s="4">
        <v>2.25</v>
      </c>
      <c r="E6" s="4">
        <v>-0.43</v>
      </c>
      <c r="F6" s="4">
        <v>0.19700000000000001</v>
      </c>
      <c r="G6" s="4">
        <f>((C6-B6)/B6)*100</f>
        <v>-0.6211180124223602</v>
      </c>
      <c r="H6" s="5"/>
    </row>
    <row r="7" spans="1:8" x14ac:dyDescent="0.2">
      <c r="A7" s="3">
        <v>45689</v>
      </c>
      <c r="B7" s="4">
        <v>144</v>
      </c>
      <c r="C7" s="4">
        <v>141</v>
      </c>
      <c r="D7" s="4">
        <v>1.72</v>
      </c>
      <c r="E7" s="4">
        <v>-1.9</v>
      </c>
      <c r="F7" s="4">
        <v>0.153</v>
      </c>
      <c r="G7" s="4">
        <f t="shared" ref="G7:G17" si="0">((C7-B7)/B7)*100</f>
        <v>-2.083333333333333</v>
      </c>
      <c r="H7" s="5"/>
    </row>
    <row r="8" spans="1:8" x14ac:dyDescent="0.2">
      <c r="A8" s="3">
        <v>45717</v>
      </c>
      <c r="B8" s="4">
        <v>127</v>
      </c>
      <c r="C8" s="4">
        <v>126</v>
      </c>
      <c r="D8" s="4">
        <v>1.53</v>
      </c>
      <c r="E8" s="4">
        <v>-0.81</v>
      </c>
      <c r="F8" s="4">
        <v>0.13700000000000001</v>
      </c>
      <c r="G8" s="4">
        <f t="shared" si="0"/>
        <v>-0.78740157480314954</v>
      </c>
      <c r="H8" s="5"/>
    </row>
    <row r="9" spans="1:8" x14ac:dyDescent="0.2">
      <c r="A9" s="3">
        <v>45748</v>
      </c>
      <c r="B9" s="4">
        <v>161</v>
      </c>
      <c r="C9" s="4">
        <v>161</v>
      </c>
      <c r="D9" s="4">
        <v>1.86</v>
      </c>
      <c r="E9" s="4">
        <v>-0.01</v>
      </c>
      <c r="F9" s="4">
        <v>0.16500000000000001</v>
      </c>
      <c r="G9" s="4">
        <f t="shared" si="0"/>
        <v>0</v>
      </c>
      <c r="H9" s="5"/>
    </row>
    <row r="10" spans="1:8" x14ac:dyDescent="0.2">
      <c r="A10" s="3">
        <v>45778</v>
      </c>
      <c r="B10" s="4">
        <v>144</v>
      </c>
      <c r="C10" s="4">
        <v>144</v>
      </c>
      <c r="D10" s="4">
        <v>1.65</v>
      </c>
      <c r="E10" s="4">
        <v>-0.15</v>
      </c>
      <c r="F10" s="4">
        <v>0.14599999999999999</v>
      </c>
      <c r="G10" s="4">
        <f t="shared" si="0"/>
        <v>0</v>
      </c>
      <c r="H10" s="5"/>
    </row>
    <row r="11" spans="1:8" x14ac:dyDescent="0.2">
      <c r="A11" s="3">
        <v>45809</v>
      </c>
      <c r="B11" s="4">
        <v>115</v>
      </c>
      <c r="C11" s="4">
        <v>115</v>
      </c>
      <c r="D11" s="4">
        <v>1.44</v>
      </c>
      <c r="E11" s="4">
        <v>-0.19</v>
      </c>
      <c r="F11" s="4">
        <v>0.125</v>
      </c>
      <c r="G11" s="4">
        <f t="shared" si="0"/>
        <v>0</v>
      </c>
      <c r="H11" s="5"/>
    </row>
    <row r="12" spans="1:8" x14ac:dyDescent="0.2">
      <c r="A12" s="3">
        <v>45839</v>
      </c>
      <c r="B12" s="4">
        <v>151</v>
      </c>
      <c r="C12" s="4">
        <v>148</v>
      </c>
      <c r="D12" s="4">
        <v>1.92</v>
      </c>
      <c r="E12" s="4">
        <v>-1.45</v>
      </c>
      <c r="F12" s="4">
        <v>0.18099999999999999</v>
      </c>
      <c r="G12" s="4">
        <f t="shared" si="0"/>
        <v>-1.9867549668874174</v>
      </c>
      <c r="H12" s="5"/>
    </row>
    <row r="13" spans="1:8" x14ac:dyDescent="0.2">
      <c r="A13" s="3">
        <v>45870</v>
      </c>
      <c r="B13" s="4">
        <v>122</v>
      </c>
      <c r="C13" s="4">
        <v>121</v>
      </c>
      <c r="D13" s="4">
        <v>1.76</v>
      </c>
      <c r="E13" s="4">
        <v>-0.74</v>
      </c>
      <c r="F13" s="4">
        <v>0.155</v>
      </c>
      <c r="G13" s="4">
        <f t="shared" si="0"/>
        <v>-0.81967213114754101</v>
      </c>
      <c r="H13" s="5"/>
    </row>
    <row r="14" spans="1:8" x14ac:dyDescent="0.2">
      <c r="A14" s="3">
        <v>45901</v>
      </c>
      <c r="B14" s="4">
        <v>111</v>
      </c>
      <c r="C14" s="4">
        <v>111</v>
      </c>
      <c r="D14" s="4">
        <v>1.76</v>
      </c>
      <c r="E14" s="4">
        <v>-0.27</v>
      </c>
      <c r="F14" s="4">
        <v>0.14799999999999999</v>
      </c>
      <c r="G14" s="4">
        <f t="shared" si="0"/>
        <v>0</v>
      </c>
      <c r="H14" s="5"/>
    </row>
    <row r="15" spans="1:8" x14ac:dyDescent="0.2">
      <c r="A15" s="3">
        <v>45931</v>
      </c>
      <c r="B15" s="4">
        <v>137</v>
      </c>
      <c r="C15" s="4">
        <v>136</v>
      </c>
      <c r="D15" s="4">
        <v>1.63</v>
      </c>
      <c r="E15" s="4">
        <v>-0.57999999999999996</v>
      </c>
      <c r="F15" s="4">
        <v>0.14000000000000001</v>
      </c>
      <c r="G15" s="4">
        <f t="shared" si="0"/>
        <v>-0.72992700729927007</v>
      </c>
      <c r="H15" s="5"/>
    </row>
    <row r="16" spans="1:8" x14ac:dyDescent="0.2">
      <c r="A16" s="3">
        <v>45962</v>
      </c>
      <c r="B16" s="4">
        <v>122</v>
      </c>
      <c r="C16" s="4">
        <v>122</v>
      </c>
      <c r="D16" s="4">
        <v>1.51</v>
      </c>
      <c r="E16" s="4">
        <v>-0.16</v>
      </c>
      <c r="F16" s="4">
        <v>0.129</v>
      </c>
      <c r="G16" s="4">
        <f t="shared" si="0"/>
        <v>0</v>
      </c>
      <c r="H16" s="5"/>
    </row>
    <row r="17" spans="1:8" x14ac:dyDescent="0.2">
      <c r="A17" s="3">
        <v>45992</v>
      </c>
      <c r="B17" s="4">
        <v>112</v>
      </c>
      <c r="C17" s="4">
        <v>110</v>
      </c>
      <c r="D17" s="4">
        <v>1.35</v>
      </c>
      <c r="E17" s="4">
        <v>-1.2</v>
      </c>
      <c r="F17" s="4">
        <v>0.11600000000000001</v>
      </c>
      <c r="G17" s="4">
        <f t="shared" si="0"/>
        <v>-1.7857142857142856</v>
      </c>
      <c r="H17" s="5"/>
    </row>
  </sheetData>
  <mergeCells count="1">
    <mergeCell ref="F1:H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N23"/>
  <sheetViews>
    <sheetView workbookViewId="0">
      <selection activeCell="F6" sqref="F6:F17"/>
    </sheetView>
  </sheetViews>
  <sheetFormatPr baseColWidth="10" defaultColWidth="11" defaultRowHeight="16" x14ac:dyDescent="0.2"/>
  <sheetData>
    <row r="1" spans="1:8" x14ac:dyDescent="0.2">
      <c r="F1" s="6" t="s">
        <v>0</v>
      </c>
      <c r="G1" s="6"/>
      <c r="H1" s="6"/>
    </row>
    <row r="2" spans="1:8" x14ac:dyDescent="0.2">
      <c r="F2" s="6"/>
      <c r="G2" s="6"/>
      <c r="H2" s="6"/>
    </row>
    <row r="3" spans="1:8" x14ac:dyDescent="0.2">
      <c r="F3" s="6"/>
      <c r="G3" s="6"/>
      <c r="H3" s="6"/>
    </row>
    <row r="5" spans="1:8" x14ac:dyDescent="0.2">
      <c r="A5" s="1" t="s">
        <v>1</v>
      </c>
      <c r="B5" s="1" t="s">
        <v>2</v>
      </c>
      <c r="C5" s="1" t="s">
        <v>3</v>
      </c>
      <c r="D5" s="2" t="s">
        <v>4</v>
      </c>
      <c r="E5" s="2" t="s">
        <v>5</v>
      </c>
      <c r="F5" s="2" t="s">
        <v>6</v>
      </c>
      <c r="G5" s="2" t="s">
        <v>7</v>
      </c>
    </row>
    <row r="6" spans="1:8" x14ac:dyDescent="0.2">
      <c r="A6" s="3">
        <v>45658</v>
      </c>
      <c r="B6" s="4">
        <v>17.2</v>
      </c>
      <c r="C6" s="4">
        <v>18</v>
      </c>
      <c r="D6" s="4">
        <v>1.59</v>
      </c>
      <c r="E6" s="4">
        <v>0.49</v>
      </c>
      <c r="F6" s="4">
        <v>0.34399999999999997</v>
      </c>
      <c r="G6" s="4">
        <f>((C6-B6)/B6)*100</f>
        <v>4.6511627906976782</v>
      </c>
    </row>
    <row r="7" spans="1:8" x14ac:dyDescent="0.2">
      <c r="A7" s="3">
        <v>45689</v>
      </c>
      <c r="B7" s="4">
        <v>15.8</v>
      </c>
      <c r="C7" s="4">
        <v>17</v>
      </c>
      <c r="D7" s="4">
        <v>1.66</v>
      </c>
      <c r="E7" s="4">
        <v>0.72</v>
      </c>
      <c r="F7" s="4">
        <v>0.35799999999999998</v>
      </c>
      <c r="G7" s="4">
        <f t="shared" ref="G7:G17" si="0">((C7-B7)/B7)*100</f>
        <v>7.5949367088607538</v>
      </c>
    </row>
    <row r="8" spans="1:8" x14ac:dyDescent="0.2">
      <c r="A8" s="3">
        <v>45717</v>
      </c>
      <c r="B8" s="4">
        <v>13.8</v>
      </c>
      <c r="C8" s="4">
        <v>14</v>
      </c>
      <c r="D8" s="4">
        <v>1.19</v>
      </c>
      <c r="E8" s="4">
        <v>0.13</v>
      </c>
      <c r="F8" s="4">
        <v>0.26400000000000001</v>
      </c>
      <c r="G8" s="4">
        <f t="shared" si="0"/>
        <v>1.4492753623188355</v>
      </c>
    </row>
    <row r="9" spans="1:8" x14ac:dyDescent="0.2">
      <c r="A9" s="3">
        <v>45748</v>
      </c>
      <c r="B9" s="4">
        <v>17</v>
      </c>
      <c r="C9" s="4">
        <v>18</v>
      </c>
      <c r="D9" s="4">
        <v>1.62</v>
      </c>
      <c r="E9" s="4">
        <v>0.59</v>
      </c>
      <c r="F9" s="4">
        <v>0.36499999999999999</v>
      </c>
      <c r="G9" s="4">
        <f t="shared" si="0"/>
        <v>5.8823529411764701</v>
      </c>
    </row>
    <row r="10" spans="1:8" x14ac:dyDescent="0.2">
      <c r="A10" s="3">
        <v>45778</v>
      </c>
      <c r="B10" s="4">
        <v>15.7</v>
      </c>
      <c r="C10" s="4">
        <v>14</v>
      </c>
      <c r="D10" s="4">
        <v>1.4</v>
      </c>
      <c r="E10" s="4">
        <v>-1.21</v>
      </c>
      <c r="F10" s="4">
        <v>0.31</v>
      </c>
      <c r="G10" s="4">
        <f t="shared" si="0"/>
        <v>-10.828025477707003</v>
      </c>
    </row>
    <row r="11" spans="1:8" x14ac:dyDescent="0.2">
      <c r="A11" s="3">
        <v>45809</v>
      </c>
      <c r="B11" s="4">
        <v>12.6</v>
      </c>
      <c r="C11" s="4">
        <v>13</v>
      </c>
      <c r="D11" s="4">
        <v>0.95</v>
      </c>
      <c r="E11" s="4">
        <v>0.39</v>
      </c>
      <c r="F11" s="4">
        <v>0.21</v>
      </c>
      <c r="G11" s="4">
        <f t="shared" si="0"/>
        <v>3.1746031746031771</v>
      </c>
    </row>
    <row r="12" spans="1:8" x14ac:dyDescent="0.2">
      <c r="A12" s="3">
        <v>45839</v>
      </c>
      <c r="B12" s="4">
        <v>15.8</v>
      </c>
      <c r="C12" s="4">
        <v>15</v>
      </c>
      <c r="D12" s="4">
        <v>1.6</v>
      </c>
      <c r="E12" s="4">
        <v>-0.49</v>
      </c>
      <c r="F12" s="4">
        <v>0.34399999999999997</v>
      </c>
      <c r="G12" s="4">
        <f t="shared" si="0"/>
        <v>-5.0632911392405102</v>
      </c>
    </row>
    <row r="13" spans="1:8" x14ac:dyDescent="0.2">
      <c r="A13" s="3">
        <v>45870</v>
      </c>
      <c r="B13" s="4">
        <v>15</v>
      </c>
      <c r="C13" s="4">
        <v>17</v>
      </c>
      <c r="D13" s="4">
        <v>2.02</v>
      </c>
      <c r="E13" s="4">
        <v>1</v>
      </c>
      <c r="F13" s="4">
        <v>0.41399999999999998</v>
      </c>
      <c r="G13" s="4">
        <f t="shared" si="0"/>
        <v>13.333333333333334</v>
      </c>
    </row>
    <row r="14" spans="1:8" x14ac:dyDescent="0.2">
      <c r="A14" s="3">
        <v>45901</v>
      </c>
      <c r="B14" s="4">
        <v>15.2</v>
      </c>
      <c r="C14" s="4">
        <v>17</v>
      </c>
      <c r="D14" s="4">
        <v>2.19</v>
      </c>
      <c r="E14" s="4">
        <v>0.81</v>
      </c>
      <c r="F14" s="4">
        <v>0.432</v>
      </c>
      <c r="G14" s="4">
        <f t="shared" si="0"/>
        <v>11.842105263157899</v>
      </c>
    </row>
    <row r="15" spans="1:8" x14ac:dyDescent="0.2">
      <c r="A15" s="3">
        <v>45931</v>
      </c>
      <c r="B15" s="4">
        <v>15.9</v>
      </c>
      <c r="C15" s="4">
        <v>18</v>
      </c>
      <c r="D15" s="4">
        <v>1.57</v>
      </c>
      <c r="E15" s="4">
        <v>1.33</v>
      </c>
      <c r="F15" s="4">
        <v>0.316</v>
      </c>
      <c r="G15" s="4">
        <f t="shared" si="0"/>
        <v>13.207547169811317</v>
      </c>
    </row>
    <row r="16" spans="1:8" x14ac:dyDescent="0.2">
      <c r="A16" s="3">
        <v>45962</v>
      </c>
      <c r="B16" s="4">
        <v>15.7</v>
      </c>
      <c r="C16" s="4">
        <v>15</v>
      </c>
      <c r="D16" s="4">
        <v>1.96</v>
      </c>
      <c r="E16" s="4">
        <v>-0.34</v>
      </c>
      <c r="F16" s="4">
        <v>0.39200000000000002</v>
      </c>
      <c r="G16" s="4">
        <f t="shared" si="0"/>
        <v>-4.4585987261146451</v>
      </c>
    </row>
    <row r="17" spans="1:14" x14ac:dyDescent="0.2">
      <c r="A17" s="3">
        <v>45992</v>
      </c>
      <c r="B17" s="4">
        <v>14.8</v>
      </c>
      <c r="C17" s="4">
        <v>14</v>
      </c>
      <c r="D17" s="4">
        <v>2.08</v>
      </c>
      <c r="E17" s="4">
        <v>-0.38</v>
      </c>
      <c r="F17" s="4">
        <v>0.42099999999999999</v>
      </c>
      <c r="G17" s="4">
        <f t="shared" si="0"/>
        <v>-5.4054054054054097</v>
      </c>
    </row>
    <row r="18" spans="1:14" x14ac:dyDescent="0.2">
      <c r="A18" s="5"/>
      <c r="B18" s="5"/>
      <c r="C18" s="5"/>
      <c r="D18" s="5"/>
      <c r="E18" s="5"/>
    </row>
    <row r="23" spans="1:14" x14ac:dyDescent="0.2">
      <c r="N23" s="5"/>
    </row>
  </sheetData>
  <mergeCells count="1">
    <mergeCell ref="F1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urea</vt:lpstr>
      <vt:lpstr>Glucose</vt:lpstr>
      <vt:lpstr>creatinine</vt:lpstr>
      <vt:lpstr>TGL</vt:lpstr>
      <vt:lpstr>cholesterol</vt:lpstr>
      <vt:lpstr>HDL</vt:lpstr>
      <vt:lpstr>T.Protein</vt:lpstr>
      <vt:lpstr>Albumin</vt:lpstr>
      <vt:lpstr>TBIL</vt:lpstr>
      <vt:lpstr>DBIL</vt:lpstr>
      <vt:lpstr>GGT</vt:lpstr>
      <vt:lpstr>AST</vt:lpstr>
      <vt:lpstr>Calcium</vt:lpstr>
      <vt:lpstr>ALT</vt:lpstr>
      <vt:lpstr>Phosphorus</vt:lpstr>
      <vt:lpstr>Magnesium</vt:lpstr>
      <vt:lpstr>Uric acid</vt:lpstr>
      <vt:lpstr>Amylase</vt:lpstr>
      <vt:lpstr>UIBC</vt:lpstr>
      <vt:lpstr>Potassium</vt:lpstr>
      <vt:lpstr>Lipase</vt:lpstr>
      <vt:lpstr>CPK</vt:lpstr>
      <vt:lpstr>LDH</vt:lpstr>
      <vt:lpstr>Iron</vt:lpstr>
      <vt:lpstr>Chloride</vt:lpstr>
      <vt:lpstr>Sodium</vt:lpstr>
      <vt:lpstr>Bicarbonate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Deepthi Sudha</dc:creator>
  <cp:lastModifiedBy>Deepthi Sudha</cp:lastModifiedBy>
  <dcterms:created xsi:type="dcterms:W3CDTF">2026-06-10T06:42:00Z</dcterms:created>
  <dcterms:modified xsi:type="dcterms:W3CDTF">2026-06-20T04:52:51Z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0D05DF51BB7C4EE19790CC3D87A38AEF_13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